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c3ee44e30db91c5/Desktop/Clients/ME/tutorials/prompt_difficulty/"/>
    </mc:Choice>
  </mc:AlternateContent>
  <xr:revisionPtr revIDLastSave="2" documentId="11_261AC86937E3AB4474269205064D3713B9370160" xr6:coauthVersionLast="47" xr6:coauthVersionMax="47" xr10:uidLastSave="{17F07281-42F3-453F-8C65-CD7697712C68}"/>
  <bookViews>
    <workbookView minimized="1" xWindow="-17170" yWindow="1200" windowWidth="14400" windowHeight="8170" firstSheet="2" activeTab="5" xr2:uid="{00000000-000D-0000-FFFF-FFFF00000000}"/>
  </bookViews>
  <sheets>
    <sheet name="Agent Design" sheetId="1" r:id="rId1"/>
    <sheet name="Sheet1" sheetId="2" r:id="rId2"/>
    <sheet name="Round 1 Data" sheetId="3" r:id="rId3"/>
    <sheet name="Scoring guide" sheetId="4" r:id="rId4"/>
    <sheet name="Prompt complexity" sheetId="5" r:id="rId5"/>
    <sheet name="Results Log Round 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B9" i="5"/>
</calcChain>
</file>

<file path=xl/sharedStrings.xml><?xml version="1.0" encoding="utf-8"?>
<sst xmlns="http://schemas.openxmlformats.org/spreadsheetml/2006/main" count="1140" uniqueCount="273">
  <si>
    <t>Same user prompt for every call</t>
  </si>
  <si>
    <t>User prompt — always the same fixed message:</t>
  </si>
  <si>
    <t>"Summarise the earnings performance, insider activity, and recent price movement for NVDA and JPM based on the attached data."</t>
  </si>
  <si>
    <t>the roud 1 data table appended below it</t>
  </si>
  <si>
    <t>The experiment is measuring: at what point does adding more rules cause the model to start dropping earlier ones?</t>
  </si>
  <si>
    <t>It was designed to touch all five rule categories in one ask:</t>
  </si>
  <si>
    <t>What's being asked</t>
  </si>
  <si>
    <t>Which agent rules it triggers</t>
  </si>
  <si>
    <t>Earnings performance</t>
  </si>
  <si>
    <t>Content rules (Cnt-1) — what facts to include</t>
  </si>
  <si>
    <t>Insider activity</t>
  </si>
  <si>
    <t>Content rules — specific data points</t>
  </si>
  <si>
    <t>Recent price movement</t>
  </si>
  <si>
    <t>Content rules — more specific data</t>
  </si>
  <si>
    <t>"Summarise"</t>
  </si>
  <si>
    <t>Format rules (Fmt-1) — how to structure the output</t>
  </si>
  <si>
    <t>Two tickers (NVDA + JPM)</t>
  </si>
  <si>
    <t>Style rules (Sty-2) — tone, comparison style</t>
  </si>
  <si>
    <t>"Based on the attached data"</t>
  </si>
  <si>
    <t>Situation rules (Sit-3) — grounding in context</t>
  </si>
  <si>
    <t>The complexity of the task</t>
  </si>
  <si>
    <t>Example rules (Exa-3) — whether to use examples</t>
  </si>
  <si>
    <t xml:space="preserve">If the user prompt only asked about earnings, the format and style rules would have nothing to trigger against. 
</t>
  </si>
  <si>
    <t>If it was too simple, higher-tier rules would never come into play and you wouldn't see any collapse.</t>
  </si>
  <si>
    <t xml:space="preserve">The prompt needs to be broad enough that all rules are relevant at every tier, but fixed so the only variable is the system prompt complexity. </t>
  </si>
  <si>
    <t>A task that touches multiple data types and requires a structured output is the sweet spot for this experiment.</t>
  </si>
  <si>
    <t>Agent design:  FollowBench task types x 7 tiers</t>
  </si>
  <si>
    <t>Agent</t>
  </si>
  <si>
    <t>Weight</t>
  </si>
  <si>
    <t>Description</t>
  </si>
  <si>
    <t>Existing rules (v2)</t>
  </si>
  <si>
    <t>T1 (1 rule)</t>
  </si>
  <si>
    <t>T2</t>
  </si>
  <si>
    <t>T3</t>
  </si>
  <si>
    <t>T4</t>
  </si>
  <si>
    <t>T5</t>
  </si>
  <si>
    <t>T6</t>
  </si>
  <si>
    <t>T7 (7 rules)</t>
  </si>
  <si>
    <t>Source</t>
  </si>
  <si>
    <t xml:space="preserve">  Content  |  weight 1  |  prompts: simple query, complex query, max pressure</t>
  </si>
  <si>
    <t>Cnt-1</t>
  </si>
  <si>
    <t>W1</t>
  </si>
  <si>
    <t>Include or exclude a specific piece of information. No judgment required.</t>
  </si>
  <si>
    <t>E1: ticker present  |  E7: data date stated</t>
  </si>
  <si>
    <t>Always include the ticker symbol for each company discussed.</t>
  </si>
  <si>
    <t>Always state the fiscal quarter and year (e.g., Q2 2024) for any earnings figure.</t>
  </si>
  <si>
    <t>Always include both the actual EPS and the consensus estimate EPS.</t>
  </si>
  <si>
    <t>Explicitly state whether the company beat or missed consensus estimates.</t>
  </si>
  <si>
    <t>Always include the surprise percentage (surprise_percent field).</t>
  </si>
  <si>
    <t>Always include the net share change figure (netShChg) when discussing insider activity.</t>
  </si>
  <si>
    <t>Always state the period end date (period field) when referencing earnings data.</t>
  </si>
  <si>
    <t>FollowBench (ACL 2024) — Content category, W1 weight class; IFEval (Google 2023) — verifiable binary checks</t>
  </si>
  <si>
    <t xml:space="preserve">  Format  |  weight 1  |  prompts: simple query, complex query, max pressure</t>
  </si>
  <si>
    <t>Fmt-1</t>
  </si>
  <si>
    <t>Shape the response into a specific structure — mechanical and countable.</t>
  </si>
  <si>
    <t>E2: opening phrase  |  E3: closing phrase  |  E4: full name + ticker  |  E5: 2 decimal places  |  E6: explicit +/- sign</t>
  </si>
  <si>
    <t>Begin every response with the exact phrase: "Here is what the data shows:"</t>
  </si>
  <si>
    <t>End every response with the exact phrase: "Data sourced from your portfolio dataset."</t>
  </si>
  <si>
    <t>Write the company full name followed by the ticker in parentheses, e.g., Apple Inc. (AAPL).</t>
  </si>
  <si>
    <t>All dollar amounts must be formatted to exactly two decimal places (e.g., $1.23, not $1.2 or $1.234).</t>
  </si>
  <si>
    <t>All percentage values must include an explicit + or − sign (e.g., +4.50%, −1.20%).</t>
  </si>
  <si>
    <t>Present actual EPS and estimate EPS on the same line separated by "vs.", e.g., $1.25 vs. $1.20 estimated.</t>
  </si>
  <si>
    <t>All dates must be formatted as YYYY-MM-DD (e.g., 2024-03-31, not March 31 2024).</t>
  </si>
  <si>
    <t>FollowBench (ACL 2024) — Format category, W1 weight class; IFEval (Google 2023) — structural/countable rules</t>
  </si>
  <si>
    <t xml:space="preserve">  Style  |  weight 2  |  prompts: simple query, complex query, max pressure</t>
  </si>
  <si>
    <t>Sty-2</t>
  </si>
  <si>
    <t>W2</t>
  </si>
  <si>
    <t>Monitor word choices while generating. Requires real-time self-editing.</t>
  </si>
  <si>
    <t>H1: no forbidden words  |  H2: no evaluative language</t>
  </si>
  <si>
    <t>Never use the words guarantee, certain, or definitely in any form.</t>
  </si>
  <si>
    <t>Never use forward-looking price language (e.g., will rise, expected to climb, poised to gain).</t>
  </si>
  <si>
    <t>Never use evaluative adjectives: strong, impressive, weak, disappointing, solid, stellar.</t>
  </si>
  <si>
    <t>Write in third person only. Do not use I, we, our, or us.</t>
  </si>
  <si>
    <t>Do not describe a surprise as significant or material; state the figure only.</t>
  </si>
  <si>
    <t>Do not use hedging phrases: it appears, it seems, it looks like.</t>
  </si>
  <si>
    <t>Do not use the words clearly or obviously.</t>
  </si>
  <si>
    <t>FollowBench (ACL 2024) — Style category, W2 weight class</t>
  </si>
  <si>
    <t xml:space="preserve">  Situation  |  weight 3  |  prompts: trigger prompt, non-trigger prompt, max pressure</t>
  </si>
  <si>
    <t>Sit-3</t>
  </si>
  <si>
    <t>W3</t>
  </si>
  <si>
    <t>Detect a condition in the input and change behavior. Conditional logic: if X then Y.</t>
  </si>
  <si>
    <t>H3: volatility note &gt;5%  |  H6: P/E flag &gt;30</t>
  </si>
  <si>
    <t>If the absolute value of diff_pct exceeds 5%, include a note: "Note: [TICKER] moved [PCT]% on [DATE], which exceeds normal daily ranges."</t>
  </si>
  <si>
    <t>When actual EPS is less than estimate EPS, explicitly state that the company missed consensus estimates.</t>
  </si>
  <si>
    <t>When actual EPS is greater than or equal to estimate EPS, explicitly state that the company beat consensus estimates.</t>
  </si>
  <si>
    <t>When netShChg is negative, explicitly state: "Insiders were net sellers during this period."</t>
  </si>
  <si>
    <t>When netShChg is positive, explicitly state: "Insiders were net buyers during this period."</t>
  </si>
  <si>
    <t>When surprise_percent is greater than +10% or less than −10%, flag it as: "Outsized surprise: [VALUE]% vs. consensus."</t>
  </si>
  <si>
    <t>When a response covers multiple topics, present them in this order: price movement first, then earnings, then insider activity.</t>
  </si>
  <si>
    <t>FollowBench (ACL 2024) — Situation category, W3 weight class</t>
  </si>
  <si>
    <t xml:space="preserve">  Example  |  weight 3  |  prompts: trigger prompt, non-trigger prompt, max pressure</t>
  </si>
  <si>
    <t>Exa-3</t>
  </si>
  <si>
    <t>Recognise a pattern and reproduce it exactly in a new context.</t>
  </si>
  <si>
    <t>H4: earnings template exact  |  H5: insider note template  |  H7: topic order</t>
  </si>
  <si>
    <t>Use this exact template for earnings: "[TICKER] reported $[ACTUAL] vs. $[ESTIMATE] estimated ([SURPRISE]% surprise)."</t>
  </si>
  <si>
    <t>Use this exact template for insider activity: "Insiders were net [buyers/sellers] with a net share change of [NETSHCHG] shares."</t>
  </si>
  <si>
    <t>Use this exact template for price: "[TICKER] closed at $[CLOSE] on [DATE], a [SIGN][PCT]% move from the prior close of $[PREV_CLOSE]."</t>
  </si>
  <si>
    <t>Use this exact template for a volatility flag: "Note: [TICKER] moved [PCT]% on [DATE], which exceeds normal daily ranges."</t>
  </si>
  <si>
    <t>Use this exact template for beat/miss summary: "[TICKER] [beat/missed] consensus by $[SURPRISE] ([SURPRISE_PCT]%) for the quarter ending [PERIOD]."</t>
  </si>
  <si>
    <t>Use this exact section header format for each ticker block: "## [TICKER] — [DATE]"</t>
  </si>
  <si>
    <t>End every ticker section with: "All figures sourced from earnings_and_insider dataset, period ending [PERIOD]."</t>
  </si>
  <si>
    <t>FollowBench (ACL 2024) — Example category, W3 weight class; InFoBench (2024) — atomic sub-requirement decomposition</t>
  </si>
  <si>
    <t>ticker</t>
  </si>
  <si>
    <t>period</t>
  </si>
  <si>
    <t>quarter</t>
  </si>
  <si>
    <t>year</t>
  </si>
  <si>
    <t>month</t>
  </si>
  <si>
    <t>actual</t>
  </si>
  <si>
    <t>estimate</t>
  </si>
  <si>
    <t>surprise</t>
  </si>
  <si>
    <t>surprise_percent</t>
  </si>
  <si>
    <t>grossShChg</t>
  </si>
  <si>
    <t>netShChg</t>
  </si>
  <si>
    <t>mspr</t>
  </si>
  <si>
    <t>NVDA</t>
  </si>
  <si>
    <t>AAPL</t>
  </si>
  <si>
    <t>TSLA</t>
  </si>
  <si>
    <t>JPM</t>
  </si>
  <si>
    <t>CSCO</t>
  </si>
  <si>
    <t>FollowBench task type weights  —  scoring reference</t>
  </si>
  <si>
    <t>Task type</t>
  </si>
  <si>
    <t>What the model must do</t>
  </si>
  <si>
    <t>Example instruction</t>
  </si>
  <si>
    <t>How to check</t>
  </si>
  <si>
    <t>Content</t>
  </si>
  <si>
    <t>State that deposits are FDIC-insured.</t>
  </si>
  <si>
    <t>Search response for required phrase. Present or absent.</t>
  </si>
  <si>
    <t>Format</t>
  </si>
  <si>
    <t>Shape the response into a specific structure — sentences, bullets, headers, length.</t>
  </si>
  <si>
    <t>Respond in exactly three sentences.</t>
  </si>
  <si>
    <t>Count sentences or structural elements. Matches rule or does not.</t>
  </si>
  <si>
    <t>Style</t>
  </si>
  <si>
    <t>Never use the word guarantee in any form.</t>
  </si>
  <si>
    <t>Search response for forbidden word. Present = failure.</t>
  </si>
  <si>
    <t>Situation</t>
  </si>
  <si>
    <t>Detect a condition in the input and change behavior based on it. If X then Y.</t>
  </si>
  <si>
    <t>If balance &gt; $250k, note the FDIC coverage cap.</t>
  </si>
  <si>
    <t>Check if trigger was present. If yes, verify response addressed it correctly.</t>
  </si>
  <si>
    <t>Example</t>
  </si>
  <si>
    <t>Recognise a pattern from a sample and reproduce it exactly in a new context.</t>
  </si>
  <si>
    <t>Format closing sentence to match this pattern: [channel] is available [hours].</t>
  </si>
  <si>
    <t>Compare closing sentence against the pattern. Matches structure or does not.</t>
  </si>
  <si>
    <t>Complexity scoring  —  ceiling guide</t>
  </si>
  <si>
    <t>Weighted total</t>
  </si>
  <si>
    <t>vs ceiling</t>
  </si>
  <si>
    <t>Architecture</t>
  </si>
  <si>
    <t>Action</t>
  </si>
  <si>
    <t>Low (e.g. 4 pts)</t>
  </si>
  <si>
    <t>Under ceiling</t>
  </si>
  <si>
    <t>Single agent</t>
  </si>
  <si>
    <t>One agent handles all instructions reliably.</t>
  </si>
  <si>
    <t>Medium (e.g. 8 pts)</t>
  </si>
  <si>
    <t>Near / at ceiling</t>
  </si>
  <si>
    <t>Two-agent pipeline</t>
  </si>
  <si>
    <t>Move expensive instructions into a second agent. Each stays under ceiling.</t>
  </si>
  <si>
    <t>High (e.g. 14 pts)</t>
  </si>
  <si>
    <t>Well above ceiling</t>
  </si>
  <si>
    <t>Multi-agent + orchestrator</t>
  </si>
  <si>
    <t>Multiple specialised agents each with a focused job, coordinated by orchestrator.</t>
  </si>
  <si>
    <t>Sources &amp; research basis</t>
  </si>
  <si>
    <t>Year</t>
  </si>
  <si>
    <t>What it is</t>
  </si>
  <si>
    <t>What it contributes to this experiment</t>
  </si>
  <si>
    <t>Applies to</t>
  </si>
  <si>
    <t>FollowBench</t>
  </si>
  <si>
    <t>ACL 2024</t>
  </si>
  <si>
    <t>Benchmark from Tsinghua &amp; Microsoft. Tests how well LLMs follow instructions when rules are stacked cumulatively.</t>
  </si>
  <si>
    <t>Direct basis for: 5 task type categories (Content, Format, Style, Situation, Example), weight classes (W1/W2/W3), cumulative ladder design, and the finding that earlier rules break at higher tiers (cognitive load collapse).</t>
  </si>
  <si>
    <t>System prompt — all categories</t>
  </si>
  <si>
    <t>IFEval (Instruction Following Evaluation)</t>
  </si>
  <si>
    <t>Google, 2023</t>
  </si>
  <si>
    <t>Benchmark for instructions that can be objectively verified — e.g. use exactly 3 bullets, include the word X, respond in N sentences.</t>
  </si>
  <si>
    <t>Supports the design of Content (W1) and Format (W1) rules as verifiable, binary pass/fail checks. Establishes that lower-weight rules are more checkable than style or situational rules.</t>
  </si>
  <si>
    <t>Cnt-1, Fmt-1 rule design</t>
  </si>
  <si>
    <t>MT-Bench</t>
  </si>
  <si>
    <t>LMSys, 2023</t>
  </si>
  <si>
    <t>Multi-turn conversation benchmark developed by the Chatbot Arena team. Rates question difficulty across 8 categories using GPT-4 as judge.</t>
  </si>
  <si>
    <t>Informs the easy / medium / hard framing for user prompt tiers. The difficulty scale used in the Prompt complexity sheet is loosely aligned with MT-Bench difficulty levels.</t>
  </si>
  <si>
    <t>User prompt complexity — Section B</t>
  </si>
  <si>
    <t>InFoBench</t>
  </si>
  <si>
    <t>2024 (arXiv)</t>
  </si>
  <si>
    <t>Decomposes a single instruction into atomic sub-requirements and evaluates each independently. Measures partial compliance rather than all-or-nothing.</t>
  </si>
  <si>
    <t>Supports the trigger count dimension in user prompt scoring — a prompt with 3 embedded conditions is harder than one with 1. Also supports soft scoring (% rules passed) over strict scoring (all-or-nothing).</t>
  </si>
  <si>
    <t>User prompt complexity — trigger count; soft score method</t>
  </si>
  <si>
    <t>User prompt complexity scoring (this experiment)</t>
  </si>
  <si>
    <t>Original, 2024</t>
  </si>
  <si>
    <t>Custom scoring framework built for this experiment. Dimensions: information density, trigger count, expected response length, ambiguity level.</t>
  </si>
  <si>
    <t>Designed to be orthogonal to system prompt complexity — making the user prompt harder does not automatically change system prompt weight, so the two variables can be controlled independently to isolate what causes adherence failure.</t>
  </si>
  <si>
    <t>Prompt complexity sheet — Section B</t>
  </si>
  <si>
    <t>Prompt complexity scoring system prompt and user prompt</t>
  </si>
  <si>
    <t>A: System prompt complexity  (how many rules, and how expensive are they?)</t>
  </si>
  <si>
    <t>Dimension</t>
  </si>
  <si>
    <t>Score</t>
  </si>
  <si>
    <t>What to count</t>
  </si>
  <si>
    <t>Low example</t>
  </si>
  <si>
    <t>High example</t>
  </si>
  <si>
    <t>Your value</t>
  </si>
  <si>
    <t>Notes</t>
  </si>
  <si>
    <t>Rule count</t>
  </si>
  <si>
    <t>1 per rule</t>
  </si>
  <si>
    <t>Total number of instructions in the system prompt.</t>
  </si>
  <si>
    <t>3 rules = 3 pts</t>
  </si>
  <si>
    <t>10 rules = 10 pts</t>
  </si>
  <si>
    <t>Rule weight</t>
  </si>
  <si>
    <t>Sum of weights</t>
  </si>
  <si>
    <t>Add up FollowBench weights for all rules (Content=1, Format=1, Style=2, Situation=3, Example=3).</t>
  </si>
  <si>
    <t>3x Content = 3 pts</t>
  </si>
  <si>
    <t>2x Situation + 1x Example = 9 pts</t>
  </si>
  <si>
    <t>Use scoring guide tab</t>
  </si>
  <si>
    <t>Conditional depth</t>
  </si>
  <si>
    <t>+1 per nested condition</t>
  </si>
  <si>
    <t>Each if/then layer adds one point. A rule with two conditions (if X and Y) scores 2.</t>
  </si>
  <si>
    <t>Simple if/then = 1</t>
  </si>
  <si>
    <t>Two nested conditions = 2</t>
  </si>
  <si>
    <t>Template precision</t>
  </si>
  <si>
    <t>0 or +2</t>
  </si>
  <si>
    <t>Add 2 if any rule requires exact template matching (word-for-word reproduction).</t>
  </si>
  <si>
    <t>No template = 0</t>
  </si>
  <si>
    <t>Exact template = +2</t>
  </si>
  <si>
    <t>TOTAL system prompt score</t>
  </si>
  <si>
    <t>B:  User prompt complexity  (how much does the response need to do?)</t>
  </si>
  <si>
    <t>Information density</t>
  </si>
  <si>
    <t>1 per data point required</t>
  </si>
  <si>
    <t>How many distinct facts must appear in the response?</t>
  </si>
  <si>
    <t>1 fact (sector query) = 1</t>
  </si>
  <si>
    <t>4 facts (price + earnings + insider + sector) = 4</t>
  </si>
  <si>
    <t>Trigger count</t>
  </si>
  <si>
    <t>1 per rule triggered</t>
  </si>
  <si>
    <t>How many Situation or Example rules does this prompt activate?</t>
  </si>
  <si>
    <t>No triggers = 0</t>
  </si>
  <si>
    <t>Fires volatility + earnings + insider = 3</t>
  </si>
  <si>
    <t>Response length</t>
  </si>
  <si>
    <t>0, 1, or 2</t>
  </si>
  <si>
    <t>0 = one sentence expected. 1 = paragraph. 2 = multi-section.</t>
  </si>
  <si>
    <t>One-line answer = 0</t>
  </si>
  <si>
    <t>Full briefing with sections = 2</t>
  </si>
  <si>
    <t>Ambiguity</t>
  </si>
  <si>
    <t>0 or 1</t>
  </si>
  <si>
    <t>Add 1 if the prompt requires the model to infer what data to use (not explicitly stated).</t>
  </si>
  <si>
    <t>Explicit ticker asked = 0</t>
  </si>
  <si>
    <t>Vague: 'tell me about this stock' = 1</t>
  </si>
  <si>
    <t>TOTAL user prompt score</t>
  </si>
  <si>
    <t>Agent ID</t>
  </si>
  <si>
    <t>Tier</t>
  </si>
  <si>
    <t>System Prompt</t>
  </si>
  <si>
    <t>Rules violated</t>
  </si>
  <si>
    <t>Pass/Fail</t>
  </si>
  <si>
    <t>Soft score</t>
  </si>
  <si>
    <t>Prompt type</t>
  </si>
  <si>
    <t>Collapse? (Y/N)</t>
  </si>
  <si>
    <t>Include or exclude a specific piece of i</t>
  </si>
  <si>
    <t>PASS</t>
  </si>
  <si>
    <t>100%</t>
  </si>
  <si>
    <t>simple</t>
  </si>
  <si>
    <t>N</t>
  </si>
  <si>
    <t>model=claude-opus-4-8</t>
  </si>
  <si>
    <t>Shape the response into a specific struc</t>
  </si>
  <si>
    <t>Y</t>
  </si>
  <si>
    <t>Monitor word choices while generating. R</t>
  </si>
  <si>
    <t>Detect a condition in the input and chan</t>
  </si>
  <si>
    <t>When actual EPS is less than estimate EPS, explicitly state that the company missed consensus estimates. (Q4 2025 JPM missed — stated correctly. Wait: this is satisfied); When netShChg is negative, explicitly state: "Insiders were net sellers during this period." (No negative netShChg cases shown; vacuously satisfied — no violation)</t>
  </si>
  <si>
    <t>FAIL</t>
  </si>
  <si>
    <t>Recognise a pattern and reproduce it exa</t>
  </si>
  <si>
    <t>model=claude-sonnet-4-6</t>
  </si>
  <si>
    <t>83%</t>
  </si>
  <si>
    <t>model=claude-haiku-4-5</t>
  </si>
  <si>
    <t>75%</t>
  </si>
  <si>
    <t>86%</t>
  </si>
  <si>
    <t>0%</t>
  </si>
  <si>
    <t>50%</t>
  </si>
  <si>
    <t>If the absolute value of diff_pct exceeds 5%, include a note: "Note: [TICKER] moved [PCT]% on [DATE], which exceeds normal daily ranges."; When netShChg is negative, explicitly state: "Insiders were net sellers during this period."</t>
  </si>
  <si>
    <t>60%</t>
  </si>
  <si>
    <t>Use this exact template for price: "[TICKER] closed at $[CLOSE] on [DATE], a [SIGN][PCT]% move from the prior close of $[PREV_CLOSE]."; Use this exact template for a volatility flag: "Note: [TICKER] moved [PCT]% on [DATE], which exceeds normal daily ranges."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</si>
</sst>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b/>
      <i/>
      <sz val="9"/>
      <color rgb="FF5F5E5A"/>
      <name val="Arial"/>
    </font>
    <font>
      <b/>
      <sz val="10"/>
      <color rgb="FF000000"/>
      <name val="Arial"/>
    </font>
    <font>
      <b/>
      <sz val="10"/>
      <color rgb="FF0C447C"/>
      <name val="Arial"/>
    </font>
    <font>
      <sz val="9"/>
      <color rgb="FF6B6A66"/>
      <name val="Arial"/>
    </font>
    <font>
      <sz val="10"/>
      <color rgb="FF6B6A66"/>
      <name val="Arial"/>
    </font>
    <font>
      <b/>
      <sz val="10"/>
      <color rgb="FF3C3489"/>
      <name val="Arial"/>
    </font>
    <font>
      <b/>
      <sz val="10"/>
      <color rgb="FF712B13"/>
      <name val="Arial"/>
    </font>
    <font>
      <sz val="10"/>
      <color rgb="FF000000"/>
      <name val="Arial"/>
    </font>
    <font>
      <i/>
      <sz val="10"/>
      <color rgb="FF3C3489"/>
      <name val="Arial"/>
    </font>
    <font>
      <b/>
      <sz val="11"/>
      <name val="Arial"/>
    </font>
    <font>
      <b/>
      <sz val="10"/>
      <color rgb="FF5F5E5A"/>
      <name val="Arial"/>
    </font>
    <font>
      <sz val="10"/>
      <color rgb="FF3C3489"/>
      <name val="Arial"/>
    </font>
    <font>
      <i/>
      <sz val="10"/>
      <color rgb="FF6B6A66"/>
      <name val="Arial"/>
    </font>
    <font>
      <b/>
      <sz val="11"/>
      <color rgb="FF2E4057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i/>
      <sz val="8"/>
      <color rgb="FF555555"/>
      <name val="Arial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F1EFE8"/>
      </patternFill>
    </fill>
    <fill>
      <patternFill patternType="solid">
        <fgColor rgb="FFE6F1FB"/>
      </patternFill>
    </fill>
    <fill>
      <patternFill patternType="solid">
        <fgColor rgb="FFF5F4F0"/>
      </patternFill>
    </fill>
    <fill>
      <patternFill patternType="solid">
        <fgColor rgb="FFFFFFFF"/>
      </patternFill>
    </fill>
    <fill>
      <patternFill patternType="solid">
        <fgColor rgb="FFEEEDFE"/>
      </patternFill>
    </fill>
    <fill>
      <patternFill patternType="solid">
        <fgColor rgb="FFFAECE7"/>
      </patternFill>
    </fill>
    <fill>
      <patternFill patternType="solid">
        <fgColor rgb="FF2E4057"/>
      </patternFill>
    </fill>
  </fills>
  <borders count="4">
    <border>
      <left/>
      <right/>
      <top/>
      <bottom/>
      <diagonal/>
    </border>
    <border>
      <left style="thin">
        <color rgb="FFD0CEC7"/>
      </left>
      <right style="thin">
        <color rgb="FFD0CEC7"/>
      </right>
      <top style="thin">
        <color rgb="FFD0CEC7"/>
      </top>
      <bottom style="thin">
        <color rgb="FFD0CEC7"/>
      </bottom>
      <diagonal/>
    </border>
    <border>
      <left/>
      <right/>
      <top style="thin">
        <color rgb="FFD0CEC7"/>
      </top>
      <bottom style="thin">
        <color rgb="FFD0CEC7"/>
      </bottom>
      <diagonal/>
    </border>
    <border>
      <left/>
      <right style="thin">
        <color rgb="FFD0CEC7"/>
      </right>
      <top style="thin">
        <color rgb="FFD0CEC7"/>
      </top>
      <bottom style="thin">
        <color rgb="FFD0CEC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/>
    <xf numFmtId="0" fontId="7" fillId="6" borderId="1" xfId="0" applyFont="1" applyFill="1" applyBorder="1" applyAlignment="1">
      <alignment vertical="top" wrapText="1"/>
    </xf>
    <xf numFmtId="0" fontId="17" fillId="9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9" borderId="0" xfId="0" applyFont="1" applyFill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16" fillId="0" borderId="0" xfId="0" applyFont="1"/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pane xSplit="4" ySplit="3" topLeftCell="E4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5.81640625" bestFit="1" customWidth="1"/>
    <col min="2" max="2" width="6.81640625" bestFit="1" customWidth="1"/>
    <col min="3" max="3" width="34" customWidth="1"/>
    <col min="4" max="4" width="28" customWidth="1"/>
    <col min="5" max="11" width="22" customWidth="1"/>
    <col min="12" max="12" width="40" customWidth="1"/>
  </cols>
  <sheetData>
    <row r="1" spans="1:12" ht="24" customHeight="1" x14ac:dyDescent="0.35">
      <c r="A1" s="39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2" ht="6" customHeight="1" x14ac:dyDescent="0.35"/>
    <row r="3" spans="1:12" ht="22" customHeight="1" x14ac:dyDescent="0.3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29" t="s">
        <v>38</v>
      </c>
    </row>
    <row r="4" spans="1:12" ht="15" customHeight="1" x14ac:dyDescent="0.35">
      <c r="A4" s="36" t="s">
        <v>39</v>
      </c>
      <c r="B4" s="37"/>
      <c r="C4" s="37"/>
      <c r="D4" s="37"/>
      <c r="E4" s="37"/>
      <c r="F4" s="37"/>
      <c r="G4" s="37"/>
      <c r="H4" s="37"/>
      <c r="I4" s="37"/>
      <c r="J4" s="37"/>
      <c r="K4" s="38"/>
    </row>
    <row r="5" spans="1:12" ht="80" customHeight="1" x14ac:dyDescent="0.35">
      <c r="A5" s="2" t="s">
        <v>40</v>
      </c>
      <c r="B5" s="3" t="s">
        <v>41</v>
      </c>
      <c r="C5" s="4" t="s">
        <v>42</v>
      </c>
      <c r="D5" s="4" t="s">
        <v>43</v>
      </c>
      <c r="E5" s="26" t="s">
        <v>44</v>
      </c>
      <c r="F5" s="26" t="s">
        <v>45</v>
      </c>
      <c r="G5" s="26" t="s">
        <v>46</v>
      </c>
      <c r="H5" s="26" t="s">
        <v>47</v>
      </c>
      <c r="I5" s="26" t="s">
        <v>48</v>
      </c>
      <c r="J5" s="26" t="s">
        <v>49</v>
      </c>
      <c r="K5" s="26" t="s">
        <v>50</v>
      </c>
      <c r="L5" s="30" t="s">
        <v>51</v>
      </c>
    </row>
    <row r="6" spans="1:12" ht="15" customHeight="1" x14ac:dyDescent="0.35">
      <c r="A6" s="36" t="s">
        <v>52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spans="1:12" ht="80" customHeight="1" x14ac:dyDescent="0.35">
      <c r="A7" s="2" t="s">
        <v>53</v>
      </c>
      <c r="B7" s="3" t="s">
        <v>41</v>
      </c>
      <c r="C7" s="4" t="s">
        <v>54</v>
      </c>
      <c r="D7" s="4" t="s">
        <v>55</v>
      </c>
      <c r="E7" s="26" t="s">
        <v>56</v>
      </c>
      <c r="F7" s="26" t="s">
        <v>57</v>
      </c>
      <c r="G7" s="26" t="s">
        <v>58</v>
      </c>
      <c r="H7" s="26" t="s">
        <v>59</v>
      </c>
      <c r="I7" s="26" t="s">
        <v>60</v>
      </c>
      <c r="J7" s="26" t="s">
        <v>61</v>
      </c>
      <c r="K7" s="26" t="s">
        <v>62</v>
      </c>
      <c r="L7" s="30" t="s">
        <v>63</v>
      </c>
    </row>
    <row r="8" spans="1:12" ht="15" customHeight="1" x14ac:dyDescent="0.35">
      <c r="A8" s="36" t="s">
        <v>64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2" ht="80" customHeight="1" x14ac:dyDescent="0.35">
      <c r="A9" s="5" t="s">
        <v>65</v>
      </c>
      <c r="B9" s="6" t="s">
        <v>66</v>
      </c>
      <c r="C9" s="4" t="s">
        <v>67</v>
      </c>
      <c r="D9" s="4" t="s">
        <v>68</v>
      </c>
      <c r="E9" s="26" t="s">
        <v>69</v>
      </c>
      <c r="F9" s="26" t="s">
        <v>70</v>
      </c>
      <c r="G9" s="26" t="s">
        <v>71</v>
      </c>
      <c r="H9" s="26" t="s">
        <v>72</v>
      </c>
      <c r="I9" s="26" t="s">
        <v>73</v>
      </c>
      <c r="J9" s="26" t="s">
        <v>74</v>
      </c>
      <c r="K9" s="26" t="s">
        <v>75</v>
      </c>
      <c r="L9" s="30" t="s">
        <v>76</v>
      </c>
    </row>
    <row r="10" spans="1:12" ht="15" customHeight="1" x14ac:dyDescent="0.35">
      <c r="A10" s="36" t="s">
        <v>77</v>
      </c>
      <c r="B10" s="37"/>
      <c r="C10" s="37"/>
      <c r="D10" s="37"/>
      <c r="E10" s="37"/>
      <c r="F10" s="37"/>
      <c r="G10" s="37"/>
      <c r="H10" s="37"/>
      <c r="I10" s="37"/>
      <c r="J10" s="37"/>
      <c r="K10" s="38"/>
    </row>
    <row r="11" spans="1:12" ht="80" customHeight="1" x14ac:dyDescent="0.35">
      <c r="A11" s="7" t="s">
        <v>78</v>
      </c>
      <c r="B11" s="8" t="s">
        <v>79</v>
      </c>
      <c r="C11" s="4" t="s">
        <v>80</v>
      </c>
      <c r="D11" s="4" t="s">
        <v>81</v>
      </c>
      <c r="E11" s="26" t="s">
        <v>82</v>
      </c>
      <c r="F11" s="26" t="s">
        <v>83</v>
      </c>
      <c r="G11" s="26" t="s">
        <v>84</v>
      </c>
      <c r="H11" s="26" t="s">
        <v>85</v>
      </c>
      <c r="I11" s="26" t="s">
        <v>86</v>
      </c>
      <c r="J11" s="26" t="s">
        <v>87</v>
      </c>
      <c r="K11" s="26" t="s">
        <v>88</v>
      </c>
      <c r="L11" s="30" t="s">
        <v>89</v>
      </c>
    </row>
    <row r="12" spans="1:12" ht="15" customHeight="1" x14ac:dyDescent="0.35">
      <c r="A12" s="36" t="s">
        <v>90</v>
      </c>
      <c r="B12" s="37"/>
      <c r="C12" s="37"/>
      <c r="D12" s="37"/>
      <c r="E12" s="37"/>
      <c r="F12" s="37"/>
      <c r="G12" s="37"/>
      <c r="H12" s="37"/>
      <c r="I12" s="37"/>
      <c r="J12" s="37"/>
      <c r="K12" s="38"/>
    </row>
    <row r="13" spans="1:12" ht="80" customHeight="1" x14ac:dyDescent="0.35">
      <c r="A13" s="7" t="s">
        <v>91</v>
      </c>
      <c r="B13" s="8" t="s">
        <v>79</v>
      </c>
      <c r="C13" s="4" t="s">
        <v>92</v>
      </c>
      <c r="D13" s="4" t="s">
        <v>93</v>
      </c>
      <c r="E13" s="26" t="s">
        <v>94</v>
      </c>
      <c r="F13" s="26" t="s">
        <v>95</v>
      </c>
      <c r="G13" s="26" t="s">
        <v>96</v>
      </c>
      <c r="H13" s="26" t="s">
        <v>97</v>
      </c>
      <c r="I13" s="26" t="s">
        <v>98</v>
      </c>
      <c r="J13" s="26" t="s">
        <v>99</v>
      </c>
      <c r="K13" s="26" t="s">
        <v>100</v>
      </c>
      <c r="L13" s="30" t="s">
        <v>101</v>
      </c>
    </row>
  </sheetData>
  <mergeCells count="6">
    <mergeCell ref="A6:K6"/>
    <mergeCell ref="A12:K12"/>
    <mergeCell ref="A4:K4"/>
    <mergeCell ref="A10:K10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F35" sqref="F35"/>
    </sheetView>
  </sheetViews>
  <sheetFormatPr defaultRowHeight="14.5" x14ac:dyDescent="0.35"/>
  <cols>
    <col min="1" max="1" width="119.81640625" bestFit="1" customWidth="1"/>
    <col min="2" max="2" width="21" customWidth="1"/>
  </cols>
  <sheetData>
    <row r="1" spans="1:1" x14ac:dyDescent="0.35">
      <c r="A1" t="s">
        <v>0</v>
      </c>
    </row>
    <row r="4" spans="1:1" x14ac:dyDescent="0.35">
      <c r="A4" s="31" t="s">
        <v>1</v>
      </c>
    </row>
    <row r="5" spans="1:1" x14ac:dyDescent="0.35">
      <c r="A5" s="32"/>
    </row>
    <row r="6" spans="1:1" x14ac:dyDescent="0.35">
      <c r="A6" s="32" t="s">
        <v>2</v>
      </c>
    </row>
    <row r="7" spans="1:1" x14ac:dyDescent="0.35">
      <c r="A7" s="33"/>
    </row>
    <row r="8" spans="1:1" x14ac:dyDescent="0.35">
      <c r="A8" s="33" t="s">
        <v>3</v>
      </c>
    </row>
    <row r="12" spans="1:1" x14ac:dyDescent="0.35">
      <c r="A12" t="s">
        <v>4</v>
      </c>
    </row>
    <row r="15" spans="1:1" x14ac:dyDescent="0.35">
      <c r="A15" t="s">
        <v>5</v>
      </c>
    </row>
    <row r="17" spans="1:2" ht="58" customHeight="1" x14ac:dyDescent="0.35">
      <c r="A17" s="34" t="s">
        <v>6</v>
      </c>
      <c r="B17" s="34" t="s">
        <v>7</v>
      </c>
    </row>
    <row r="18" spans="1:2" ht="87" customHeight="1" x14ac:dyDescent="0.35">
      <c r="A18" s="35" t="s">
        <v>8</v>
      </c>
      <c r="B18" s="35" t="s">
        <v>9</v>
      </c>
    </row>
    <row r="19" spans="1:2" ht="72.5" customHeight="1" x14ac:dyDescent="0.35">
      <c r="A19" s="35" t="s">
        <v>10</v>
      </c>
      <c r="B19" s="35" t="s">
        <v>11</v>
      </c>
    </row>
    <row r="20" spans="1:2" ht="72.5" customHeight="1" x14ac:dyDescent="0.35">
      <c r="A20" s="35" t="s">
        <v>12</v>
      </c>
      <c r="B20" s="35" t="s">
        <v>13</v>
      </c>
    </row>
    <row r="21" spans="1:2" ht="116" customHeight="1" x14ac:dyDescent="0.35">
      <c r="A21" s="35" t="s">
        <v>14</v>
      </c>
      <c r="B21" s="35" t="s">
        <v>15</v>
      </c>
    </row>
    <row r="22" spans="1:2" ht="87" customHeight="1" x14ac:dyDescent="0.35">
      <c r="A22" s="35" t="s">
        <v>16</v>
      </c>
      <c r="B22" s="35" t="s">
        <v>17</v>
      </c>
    </row>
    <row r="23" spans="1:2" ht="87" customHeight="1" x14ac:dyDescent="0.35">
      <c r="A23" s="35" t="s">
        <v>18</v>
      </c>
      <c r="B23" s="35" t="s">
        <v>19</v>
      </c>
    </row>
    <row r="24" spans="1:2" ht="101.5" customHeight="1" x14ac:dyDescent="0.35">
      <c r="A24" s="35" t="s">
        <v>20</v>
      </c>
      <c r="B24" s="35" t="s">
        <v>21</v>
      </c>
    </row>
    <row r="26" spans="1:2" x14ac:dyDescent="0.35">
      <c r="A26" t="s">
        <v>22</v>
      </c>
    </row>
    <row r="27" spans="1:2" x14ac:dyDescent="0.35">
      <c r="A27" t="s">
        <v>23</v>
      </c>
    </row>
    <row r="28" spans="1:2" x14ac:dyDescent="0.35">
      <c r="A28" t="s">
        <v>24</v>
      </c>
    </row>
    <row r="29" spans="1:2" x14ac:dyDescent="0.35">
      <c r="A2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opLeftCell="C1" workbookViewId="0">
      <selection activeCell="H23" sqref="H23"/>
    </sheetView>
  </sheetViews>
  <sheetFormatPr defaultRowHeight="14.5" x14ac:dyDescent="0.35"/>
  <cols>
    <col min="1" max="1" width="10.453125" customWidth="1"/>
    <col min="2" max="2" width="11" customWidth="1"/>
    <col min="9" max="9" width="15" bestFit="1" customWidth="1"/>
    <col min="10" max="10" width="13" customWidth="1"/>
    <col min="11" max="11" width="12.54296875" customWidth="1"/>
  </cols>
  <sheetData>
    <row r="1" spans="1:12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</row>
    <row r="2" spans="1:12" x14ac:dyDescent="0.35">
      <c r="A2" t="s">
        <v>114</v>
      </c>
      <c r="B2" s="25">
        <v>45869</v>
      </c>
      <c r="C2">
        <v>3</v>
      </c>
      <c r="D2">
        <v>2025</v>
      </c>
      <c r="E2">
        <v>7</v>
      </c>
      <c r="F2">
        <v>1.05</v>
      </c>
      <c r="G2">
        <v>1.0086999999999999</v>
      </c>
      <c r="H2">
        <v>4.1300000000000003E-2</v>
      </c>
      <c r="I2">
        <v>4.0975000000000001</v>
      </c>
      <c r="J2">
        <v>0</v>
      </c>
      <c r="K2">
        <v>0</v>
      </c>
      <c r="L2">
        <v>0</v>
      </c>
    </row>
    <row r="3" spans="1:12" x14ac:dyDescent="0.35">
      <c r="A3" t="s">
        <v>114</v>
      </c>
      <c r="B3" s="25">
        <v>45961</v>
      </c>
      <c r="C3">
        <v>4</v>
      </c>
      <c r="D3">
        <v>2025</v>
      </c>
      <c r="E3">
        <v>10</v>
      </c>
      <c r="F3">
        <v>1.3</v>
      </c>
      <c r="G3">
        <v>1.2565</v>
      </c>
      <c r="H3">
        <v>4.3499999999999997E-2</v>
      </c>
      <c r="I3">
        <v>3.4645000000000001</v>
      </c>
      <c r="J3">
        <v>0</v>
      </c>
      <c r="K3">
        <v>0</v>
      </c>
      <c r="L3">
        <v>0</v>
      </c>
    </row>
    <row r="4" spans="1:12" x14ac:dyDescent="0.35">
      <c r="A4" t="s">
        <v>114</v>
      </c>
      <c r="B4" s="25">
        <v>46053</v>
      </c>
      <c r="C4">
        <v>1</v>
      </c>
      <c r="D4">
        <v>2026</v>
      </c>
      <c r="E4">
        <v>1</v>
      </c>
      <c r="F4">
        <v>1.62</v>
      </c>
      <c r="G4">
        <v>1.5381</v>
      </c>
      <c r="H4">
        <v>8.1900000000000001E-2</v>
      </c>
      <c r="I4">
        <v>5.3234000000000004</v>
      </c>
      <c r="J4">
        <v>0</v>
      </c>
      <c r="K4">
        <v>0</v>
      </c>
      <c r="L4">
        <v>0</v>
      </c>
    </row>
    <row r="5" spans="1:12" x14ac:dyDescent="0.35">
      <c r="A5" t="s">
        <v>114</v>
      </c>
      <c r="B5" s="25">
        <v>46142</v>
      </c>
      <c r="C5">
        <v>2</v>
      </c>
      <c r="D5">
        <v>2026</v>
      </c>
      <c r="E5">
        <v>4</v>
      </c>
      <c r="F5">
        <v>1.87</v>
      </c>
      <c r="G5">
        <v>1.7719</v>
      </c>
      <c r="H5">
        <v>9.8100000000000007E-2</v>
      </c>
      <c r="I5">
        <v>5.5358000000000001</v>
      </c>
      <c r="J5">
        <v>90310070</v>
      </c>
      <c r="K5">
        <v>90310070</v>
      </c>
      <c r="L5">
        <v>100</v>
      </c>
    </row>
    <row r="6" spans="1:12" x14ac:dyDescent="0.35">
      <c r="A6" t="s">
        <v>115</v>
      </c>
      <c r="B6" s="25">
        <v>45838</v>
      </c>
      <c r="C6">
        <v>2</v>
      </c>
      <c r="D6">
        <v>2025</v>
      </c>
      <c r="E6">
        <v>6</v>
      </c>
      <c r="F6">
        <v>1.57</v>
      </c>
      <c r="G6">
        <v>1.4257</v>
      </c>
      <c r="H6">
        <v>0.14430000000000001</v>
      </c>
      <c r="I6">
        <v>10.1198</v>
      </c>
      <c r="J6">
        <v>0</v>
      </c>
      <c r="K6">
        <v>0</v>
      </c>
      <c r="L6">
        <v>0</v>
      </c>
    </row>
    <row r="7" spans="1:12" x14ac:dyDescent="0.35">
      <c r="A7" t="s">
        <v>115</v>
      </c>
      <c r="B7" s="25">
        <v>45930</v>
      </c>
      <c r="C7">
        <v>3</v>
      </c>
      <c r="D7">
        <v>2025</v>
      </c>
      <c r="E7">
        <v>9</v>
      </c>
      <c r="F7">
        <v>1.85</v>
      </c>
      <c r="G7">
        <v>1.7699</v>
      </c>
      <c r="H7">
        <v>8.0100000000000005E-2</v>
      </c>
      <c r="I7">
        <v>4.5239000000000003</v>
      </c>
      <c r="J7">
        <v>0</v>
      </c>
      <c r="K7">
        <v>0</v>
      </c>
      <c r="L7">
        <v>0</v>
      </c>
    </row>
    <row r="8" spans="1:12" x14ac:dyDescent="0.35">
      <c r="A8" t="s">
        <v>115</v>
      </c>
      <c r="B8" s="25">
        <v>46022</v>
      </c>
      <c r="C8">
        <v>4</v>
      </c>
      <c r="D8">
        <v>2025</v>
      </c>
      <c r="E8">
        <v>12</v>
      </c>
      <c r="F8">
        <v>2.84</v>
      </c>
      <c r="G8">
        <v>2.6707999999999998</v>
      </c>
      <c r="H8">
        <v>0.16919999999999999</v>
      </c>
      <c r="I8">
        <v>6.3352000000000004</v>
      </c>
      <c r="J8">
        <v>0</v>
      </c>
      <c r="K8">
        <v>0</v>
      </c>
      <c r="L8">
        <v>0</v>
      </c>
    </row>
    <row r="9" spans="1:12" x14ac:dyDescent="0.35">
      <c r="A9" t="s">
        <v>115</v>
      </c>
      <c r="B9" s="25">
        <v>46112</v>
      </c>
      <c r="C9">
        <v>1</v>
      </c>
      <c r="D9">
        <v>2026</v>
      </c>
      <c r="E9">
        <v>3</v>
      </c>
      <c r="F9">
        <v>2.0099999999999998</v>
      </c>
      <c r="G9">
        <v>1.9427000000000001</v>
      </c>
      <c r="H9">
        <v>6.7199999999999996E-2</v>
      </c>
      <c r="I9">
        <v>3.4615999999999998</v>
      </c>
      <c r="J9">
        <v>4305635</v>
      </c>
      <c r="K9">
        <v>4305635</v>
      </c>
      <c r="L9">
        <v>100</v>
      </c>
    </row>
    <row r="10" spans="1:12" x14ac:dyDescent="0.35">
      <c r="A10" t="s">
        <v>116</v>
      </c>
      <c r="B10" s="25">
        <v>45838</v>
      </c>
      <c r="C10">
        <v>2</v>
      </c>
      <c r="D10">
        <v>2025</v>
      </c>
      <c r="E10">
        <v>6</v>
      </c>
      <c r="F10">
        <v>0.4</v>
      </c>
      <c r="G10">
        <v>0.40389999999999998</v>
      </c>
      <c r="H10">
        <v>-3.8999999999999998E-3</v>
      </c>
      <c r="I10">
        <v>-0.96799999999999997</v>
      </c>
      <c r="J10">
        <v>0</v>
      </c>
      <c r="K10">
        <v>0</v>
      </c>
      <c r="L10">
        <v>0</v>
      </c>
    </row>
    <row r="11" spans="1:12" x14ac:dyDescent="0.35">
      <c r="A11" t="s">
        <v>116</v>
      </c>
      <c r="B11" s="25">
        <v>45930</v>
      </c>
      <c r="C11">
        <v>3</v>
      </c>
      <c r="D11">
        <v>2025</v>
      </c>
      <c r="E11">
        <v>9</v>
      </c>
      <c r="F11">
        <v>0.5</v>
      </c>
      <c r="G11">
        <v>0.55879999999999996</v>
      </c>
      <c r="H11">
        <v>-5.8799999999999998E-2</v>
      </c>
      <c r="I11">
        <v>-10.5306</v>
      </c>
      <c r="J11">
        <v>0</v>
      </c>
      <c r="K11">
        <v>0</v>
      </c>
      <c r="L11">
        <v>0</v>
      </c>
    </row>
    <row r="12" spans="1:12" x14ac:dyDescent="0.35">
      <c r="A12" t="s">
        <v>116</v>
      </c>
      <c r="B12" s="25">
        <v>46022</v>
      </c>
      <c r="C12">
        <v>4</v>
      </c>
      <c r="D12">
        <v>2025</v>
      </c>
      <c r="E12">
        <v>12</v>
      </c>
      <c r="F12">
        <v>0.5</v>
      </c>
      <c r="G12">
        <v>0.4506</v>
      </c>
      <c r="H12">
        <v>4.9399999999999999E-2</v>
      </c>
      <c r="I12">
        <v>10.960699999999999</v>
      </c>
      <c r="J12">
        <v>0</v>
      </c>
      <c r="K12">
        <v>0</v>
      </c>
      <c r="L12">
        <v>0</v>
      </c>
    </row>
    <row r="13" spans="1:12" x14ac:dyDescent="0.35">
      <c r="A13" t="s">
        <v>116</v>
      </c>
      <c r="B13" s="25">
        <v>46112</v>
      </c>
      <c r="C13">
        <v>1</v>
      </c>
      <c r="D13">
        <v>2026</v>
      </c>
      <c r="E13">
        <v>3</v>
      </c>
      <c r="F13">
        <v>0.41</v>
      </c>
      <c r="G13">
        <v>0.35</v>
      </c>
      <c r="H13">
        <v>0.06</v>
      </c>
      <c r="I13">
        <v>17.1462</v>
      </c>
      <c r="J13">
        <v>8312013</v>
      </c>
      <c r="K13">
        <v>8312013</v>
      </c>
      <c r="L13">
        <v>100</v>
      </c>
    </row>
    <row r="14" spans="1:12" x14ac:dyDescent="0.35">
      <c r="A14" t="s">
        <v>117</v>
      </c>
      <c r="B14" s="25">
        <v>45838</v>
      </c>
      <c r="C14">
        <v>2</v>
      </c>
      <c r="D14">
        <v>2025</v>
      </c>
      <c r="E14">
        <v>6</v>
      </c>
      <c r="F14">
        <v>4.96</v>
      </c>
      <c r="G14">
        <v>4.4837999999999996</v>
      </c>
      <c r="H14">
        <v>0.47620000000000001</v>
      </c>
      <c r="I14">
        <v>10.620699999999999</v>
      </c>
      <c r="J14">
        <v>0</v>
      </c>
      <c r="K14">
        <v>0</v>
      </c>
      <c r="L14">
        <v>0</v>
      </c>
    </row>
    <row r="15" spans="1:12" x14ac:dyDescent="0.35">
      <c r="A15" t="s">
        <v>117</v>
      </c>
      <c r="B15" s="25">
        <v>45930</v>
      </c>
      <c r="C15">
        <v>3</v>
      </c>
      <c r="D15">
        <v>2025</v>
      </c>
      <c r="E15">
        <v>9</v>
      </c>
      <c r="F15">
        <v>5.07</v>
      </c>
      <c r="G15">
        <v>4.8746999999999998</v>
      </c>
      <c r="H15">
        <v>0.1953</v>
      </c>
      <c r="I15">
        <v>4.0069999999999997</v>
      </c>
      <c r="J15">
        <v>0</v>
      </c>
      <c r="K15">
        <v>0</v>
      </c>
      <c r="L15">
        <v>0</v>
      </c>
    </row>
    <row r="16" spans="1:12" x14ac:dyDescent="0.35">
      <c r="A16" t="s">
        <v>117</v>
      </c>
      <c r="B16" s="25">
        <v>46022</v>
      </c>
      <c r="C16">
        <v>4</v>
      </c>
      <c r="D16">
        <v>2025</v>
      </c>
      <c r="E16">
        <v>12</v>
      </c>
      <c r="F16">
        <v>4.63</v>
      </c>
      <c r="G16">
        <v>4.8182999999999998</v>
      </c>
      <c r="H16">
        <v>-0.1883</v>
      </c>
      <c r="I16">
        <v>-3.9081999999999999</v>
      </c>
      <c r="J16">
        <v>0</v>
      </c>
      <c r="K16">
        <v>0</v>
      </c>
      <c r="L16">
        <v>0</v>
      </c>
    </row>
    <row r="17" spans="1:12" x14ac:dyDescent="0.35">
      <c r="A17" t="s">
        <v>117</v>
      </c>
      <c r="B17" s="25">
        <v>46112</v>
      </c>
      <c r="C17">
        <v>1</v>
      </c>
      <c r="D17">
        <v>2026</v>
      </c>
      <c r="E17">
        <v>3</v>
      </c>
      <c r="F17">
        <v>5.94</v>
      </c>
      <c r="G17">
        <v>5.5110000000000001</v>
      </c>
      <c r="H17">
        <v>0.42899999999999999</v>
      </c>
      <c r="I17">
        <v>7.7847999999999997</v>
      </c>
      <c r="J17">
        <v>4130056</v>
      </c>
      <c r="K17">
        <v>4130056</v>
      </c>
      <c r="L17">
        <v>100</v>
      </c>
    </row>
    <row r="18" spans="1:12" x14ac:dyDescent="0.35">
      <c r="A18" t="s">
        <v>118</v>
      </c>
      <c r="B18" s="25">
        <v>45869</v>
      </c>
      <c r="C18">
        <v>3</v>
      </c>
      <c r="D18">
        <v>2025</v>
      </c>
      <c r="E18">
        <v>7</v>
      </c>
      <c r="F18">
        <v>0.99</v>
      </c>
      <c r="G18">
        <v>0.97729999999999995</v>
      </c>
      <c r="H18">
        <v>1.2699999999999999E-2</v>
      </c>
      <c r="I18">
        <v>1.2985</v>
      </c>
      <c r="J18">
        <v>0</v>
      </c>
      <c r="K18">
        <v>0</v>
      </c>
      <c r="L18">
        <v>0</v>
      </c>
    </row>
    <row r="19" spans="1:12" x14ac:dyDescent="0.35">
      <c r="A19" t="s">
        <v>118</v>
      </c>
      <c r="B19" s="25">
        <v>45961</v>
      </c>
      <c r="C19">
        <v>4</v>
      </c>
      <c r="D19">
        <v>2025</v>
      </c>
      <c r="E19">
        <v>10</v>
      </c>
      <c r="F19">
        <v>1</v>
      </c>
      <c r="G19">
        <v>0.98219999999999996</v>
      </c>
      <c r="H19">
        <v>1.78E-2</v>
      </c>
      <c r="I19">
        <v>1.8164</v>
      </c>
      <c r="J19">
        <v>0</v>
      </c>
      <c r="K19">
        <v>0</v>
      </c>
      <c r="L19">
        <v>0</v>
      </c>
    </row>
    <row r="20" spans="1:12" x14ac:dyDescent="0.35">
      <c r="A20" t="s">
        <v>118</v>
      </c>
      <c r="B20" s="25">
        <v>46053</v>
      </c>
      <c r="C20">
        <v>1</v>
      </c>
      <c r="D20">
        <v>2026</v>
      </c>
      <c r="E20">
        <v>1</v>
      </c>
      <c r="F20">
        <v>1.04</v>
      </c>
      <c r="G20">
        <v>1.0221</v>
      </c>
      <c r="H20">
        <v>1.7899999999999999E-2</v>
      </c>
      <c r="I20">
        <v>1.7473000000000001</v>
      </c>
      <c r="J20">
        <v>0</v>
      </c>
      <c r="K20">
        <v>0</v>
      </c>
      <c r="L20">
        <v>0</v>
      </c>
    </row>
    <row r="21" spans="1:12" x14ac:dyDescent="0.35">
      <c r="A21" t="s">
        <v>118</v>
      </c>
      <c r="B21" s="25">
        <v>46142</v>
      </c>
      <c r="C21">
        <v>2</v>
      </c>
      <c r="D21">
        <v>2026</v>
      </c>
      <c r="E21">
        <v>4</v>
      </c>
      <c r="F21">
        <v>1.06</v>
      </c>
      <c r="G21">
        <v>1.0362</v>
      </c>
      <c r="H21">
        <v>2.3800000000000002E-2</v>
      </c>
      <c r="I21">
        <v>2.2919</v>
      </c>
      <c r="J21">
        <v>5449912</v>
      </c>
      <c r="K21">
        <v>5449912</v>
      </c>
      <c r="L2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opLeftCell="A7" workbookViewId="0">
      <selection sqref="A1:E8"/>
    </sheetView>
  </sheetViews>
  <sheetFormatPr defaultRowHeight="14.5" x14ac:dyDescent="0.35"/>
  <cols>
    <col min="1" max="1" width="28" customWidth="1"/>
    <col min="2" max="2" width="14" customWidth="1"/>
    <col min="3" max="3" width="38" customWidth="1"/>
    <col min="4" max="4" width="52" customWidth="1"/>
    <col min="5" max="5" width="30" customWidth="1"/>
  </cols>
  <sheetData>
    <row r="1" spans="1:5" ht="24" customHeight="1" x14ac:dyDescent="0.35">
      <c r="A1" s="39" t="s">
        <v>119</v>
      </c>
      <c r="B1" s="40"/>
      <c r="C1" s="40"/>
      <c r="D1" s="40"/>
      <c r="E1" s="40"/>
    </row>
    <row r="2" spans="1:5" ht="6" customHeight="1" x14ac:dyDescent="0.35"/>
    <row r="3" spans="1:5" ht="22" customHeight="1" x14ac:dyDescent="0.35">
      <c r="A3" s="1" t="s">
        <v>120</v>
      </c>
      <c r="B3" s="1" t="s">
        <v>28</v>
      </c>
      <c r="C3" s="1" t="s">
        <v>121</v>
      </c>
      <c r="D3" s="1" t="s">
        <v>122</v>
      </c>
      <c r="E3" s="1" t="s">
        <v>123</v>
      </c>
    </row>
    <row r="4" spans="1:5" ht="48" customHeight="1" x14ac:dyDescent="0.35">
      <c r="A4" s="9" t="s">
        <v>124</v>
      </c>
      <c r="B4" s="3" t="s">
        <v>41</v>
      </c>
      <c r="C4" s="10" t="s">
        <v>42</v>
      </c>
      <c r="D4" s="11" t="s">
        <v>125</v>
      </c>
      <c r="E4" s="10" t="s">
        <v>126</v>
      </c>
    </row>
    <row r="5" spans="1:5" ht="48" customHeight="1" x14ac:dyDescent="0.35">
      <c r="A5" s="9" t="s">
        <v>127</v>
      </c>
      <c r="B5" s="3" t="s">
        <v>41</v>
      </c>
      <c r="C5" s="10" t="s">
        <v>128</v>
      </c>
      <c r="D5" s="11" t="s">
        <v>129</v>
      </c>
      <c r="E5" s="10" t="s">
        <v>130</v>
      </c>
    </row>
    <row r="6" spans="1:5" ht="48" customHeight="1" x14ac:dyDescent="0.35">
      <c r="A6" s="12" t="s">
        <v>131</v>
      </c>
      <c r="B6" s="6" t="s">
        <v>66</v>
      </c>
      <c r="C6" s="10" t="s">
        <v>67</v>
      </c>
      <c r="D6" s="11" t="s">
        <v>132</v>
      </c>
      <c r="E6" s="10" t="s">
        <v>133</v>
      </c>
    </row>
    <row r="7" spans="1:5" ht="48" customHeight="1" x14ac:dyDescent="0.35">
      <c r="A7" s="13" t="s">
        <v>134</v>
      </c>
      <c r="B7" s="8" t="s">
        <v>79</v>
      </c>
      <c r="C7" s="10" t="s">
        <v>135</v>
      </c>
      <c r="D7" s="11" t="s">
        <v>136</v>
      </c>
      <c r="E7" s="10" t="s">
        <v>137</v>
      </c>
    </row>
    <row r="8" spans="1:5" ht="48" customHeight="1" x14ac:dyDescent="0.35">
      <c r="A8" s="13" t="s">
        <v>138</v>
      </c>
      <c r="B8" s="8" t="s">
        <v>79</v>
      </c>
      <c r="C8" s="10" t="s">
        <v>139</v>
      </c>
      <c r="D8" s="11" t="s">
        <v>140</v>
      </c>
      <c r="E8" s="10" t="s">
        <v>141</v>
      </c>
    </row>
    <row r="9" spans="1:5" ht="10" customHeight="1" x14ac:dyDescent="0.35"/>
    <row r="10" spans="1:5" ht="22" customHeight="1" x14ac:dyDescent="0.35">
      <c r="A10" s="43" t="s">
        <v>142</v>
      </c>
      <c r="B10" s="40"/>
      <c r="C10" s="40"/>
      <c r="D10" s="40"/>
      <c r="E10" s="40"/>
    </row>
    <row r="11" spans="1:5" ht="20" customHeight="1" x14ac:dyDescent="0.35">
      <c r="A11" s="1" t="s">
        <v>143</v>
      </c>
      <c r="B11" s="1" t="s">
        <v>144</v>
      </c>
      <c r="C11" s="1" t="s">
        <v>145</v>
      </c>
      <c r="D11" s="1" t="s">
        <v>146</v>
      </c>
    </row>
    <row r="12" spans="1:5" ht="36" customHeight="1" x14ac:dyDescent="0.35">
      <c r="A12" s="10" t="s">
        <v>147</v>
      </c>
      <c r="B12" s="10" t="s">
        <v>148</v>
      </c>
      <c r="C12" s="14" t="s">
        <v>149</v>
      </c>
      <c r="D12" s="42" t="s">
        <v>150</v>
      </c>
      <c r="E12" s="38"/>
    </row>
    <row r="13" spans="1:5" ht="36" customHeight="1" x14ac:dyDescent="0.35">
      <c r="A13" s="10" t="s">
        <v>151</v>
      </c>
      <c r="B13" s="10" t="s">
        <v>152</v>
      </c>
      <c r="C13" s="14" t="s">
        <v>153</v>
      </c>
      <c r="D13" s="42" t="s">
        <v>154</v>
      </c>
      <c r="E13" s="38"/>
    </row>
    <row r="14" spans="1:5" ht="36" customHeight="1" x14ac:dyDescent="0.35">
      <c r="A14" s="10" t="s">
        <v>155</v>
      </c>
      <c r="B14" s="10" t="s">
        <v>156</v>
      </c>
      <c r="C14" s="14" t="s">
        <v>157</v>
      </c>
      <c r="D14" s="42" t="s">
        <v>158</v>
      </c>
      <c r="E14" s="38"/>
    </row>
    <row r="16" spans="1:5" x14ac:dyDescent="0.35">
      <c r="A16" s="41" t="s">
        <v>159</v>
      </c>
      <c r="B16" s="40"/>
      <c r="C16" s="40"/>
      <c r="D16" s="40"/>
      <c r="E16" s="40"/>
    </row>
    <row r="17" spans="1:5" x14ac:dyDescent="0.35">
      <c r="A17" s="27" t="s">
        <v>38</v>
      </c>
      <c r="B17" s="27" t="s">
        <v>160</v>
      </c>
      <c r="C17" s="27" t="s">
        <v>161</v>
      </c>
      <c r="D17" s="27" t="s">
        <v>162</v>
      </c>
      <c r="E17" s="27" t="s">
        <v>163</v>
      </c>
    </row>
    <row r="18" spans="1:5" ht="70" customHeight="1" x14ac:dyDescent="0.35">
      <c r="A18" s="28" t="s">
        <v>164</v>
      </c>
      <c r="B18" s="28" t="s">
        <v>165</v>
      </c>
      <c r="C18" s="28" t="s">
        <v>166</v>
      </c>
      <c r="D18" s="28" t="s">
        <v>167</v>
      </c>
      <c r="E18" s="28" t="s">
        <v>168</v>
      </c>
    </row>
    <row r="19" spans="1:5" ht="70" customHeight="1" x14ac:dyDescent="0.35">
      <c r="A19" s="28" t="s">
        <v>169</v>
      </c>
      <c r="B19" s="28" t="s">
        <v>170</v>
      </c>
      <c r="C19" s="28" t="s">
        <v>171</v>
      </c>
      <c r="D19" s="28" t="s">
        <v>172</v>
      </c>
      <c r="E19" s="28" t="s">
        <v>173</v>
      </c>
    </row>
    <row r="20" spans="1:5" ht="70" customHeight="1" x14ac:dyDescent="0.35">
      <c r="A20" s="28" t="s">
        <v>174</v>
      </c>
      <c r="B20" s="28" t="s">
        <v>175</v>
      </c>
      <c r="C20" s="28" t="s">
        <v>176</v>
      </c>
      <c r="D20" s="28" t="s">
        <v>177</v>
      </c>
      <c r="E20" s="28" t="s">
        <v>178</v>
      </c>
    </row>
    <row r="21" spans="1:5" ht="70" customHeight="1" x14ac:dyDescent="0.35">
      <c r="A21" s="28" t="s">
        <v>179</v>
      </c>
      <c r="B21" s="28" t="s">
        <v>180</v>
      </c>
      <c r="C21" s="28" t="s">
        <v>181</v>
      </c>
      <c r="D21" s="28" t="s">
        <v>182</v>
      </c>
      <c r="E21" s="28" t="s">
        <v>183</v>
      </c>
    </row>
    <row r="22" spans="1:5" ht="70" customHeight="1" x14ac:dyDescent="0.35">
      <c r="A22" s="28" t="s">
        <v>184</v>
      </c>
      <c r="B22" s="28" t="s">
        <v>185</v>
      </c>
      <c r="C22" s="28" t="s">
        <v>186</v>
      </c>
      <c r="D22" s="28" t="s">
        <v>187</v>
      </c>
      <c r="E22" s="28" t="s">
        <v>188</v>
      </c>
    </row>
  </sheetData>
  <mergeCells count="6">
    <mergeCell ref="A16:E16"/>
    <mergeCell ref="D13:E13"/>
    <mergeCell ref="A10:E10"/>
    <mergeCell ref="D14:E14"/>
    <mergeCell ref="A1:E1"/>
    <mergeCell ref="D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topLeftCell="A10" workbookViewId="0">
      <selection activeCell="B10" sqref="B10"/>
    </sheetView>
  </sheetViews>
  <sheetFormatPr defaultRowHeight="14.5" x14ac:dyDescent="0.35"/>
  <cols>
    <col min="1" max="1" width="18" customWidth="1"/>
    <col min="2" max="2" width="20.7265625" bestFit="1" customWidth="1"/>
    <col min="3" max="5" width="28" customWidth="1"/>
    <col min="6" max="6" width="14" customWidth="1"/>
    <col min="7" max="7" width="20" customWidth="1"/>
  </cols>
  <sheetData>
    <row r="1" spans="1:7" ht="24" customHeight="1" x14ac:dyDescent="0.35">
      <c r="A1" s="39" t="s">
        <v>189</v>
      </c>
      <c r="B1" s="40"/>
      <c r="C1" s="40"/>
      <c r="D1" s="40"/>
      <c r="E1" s="40"/>
      <c r="F1" s="40"/>
      <c r="G1" s="40"/>
    </row>
    <row r="2" spans="1:7" ht="6" customHeight="1" x14ac:dyDescent="0.35"/>
    <row r="3" spans="1:7" ht="18" customHeight="1" x14ac:dyDescent="0.35">
      <c r="A3" s="44" t="s">
        <v>190</v>
      </c>
      <c r="B3" s="37"/>
      <c r="C3" s="37"/>
      <c r="D3" s="37"/>
      <c r="E3" s="37"/>
      <c r="F3" s="37"/>
      <c r="G3" s="38"/>
    </row>
    <row r="4" spans="1:7" ht="20" customHeight="1" x14ac:dyDescent="0.35">
      <c r="A4" s="1" t="s">
        <v>191</v>
      </c>
      <c r="B4" s="1" t="s">
        <v>192</v>
      </c>
      <c r="C4" s="1" t="s">
        <v>193</v>
      </c>
      <c r="D4" s="1" t="s">
        <v>194</v>
      </c>
      <c r="E4" s="1" t="s">
        <v>195</v>
      </c>
      <c r="F4" s="1" t="s">
        <v>196</v>
      </c>
      <c r="G4" s="1" t="s">
        <v>197</v>
      </c>
    </row>
    <row r="5" spans="1:7" ht="40" customHeight="1" x14ac:dyDescent="0.35">
      <c r="A5" s="15" t="s">
        <v>198</v>
      </c>
      <c r="B5" s="16" t="s">
        <v>199</v>
      </c>
      <c r="C5" s="10" t="s">
        <v>200</v>
      </c>
      <c r="D5" s="17" t="s">
        <v>201</v>
      </c>
      <c r="E5" s="17" t="s">
        <v>202</v>
      </c>
      <c r="F5" s="18"/>
      <c r="G5" s="19"/>
    </row>
    <row r="6" spans="1:7" ht="40" customHeight="1" x14ac:dyDescent="0.35">
      <c r="A6" s="15" t="s">
        <v>203</v>
      </c>
      <c r="B6" s="16" t="s">
        <v>204</v>
      </c>
      <c r="C6" s="10" t="s">
        <v>205</v>
      </c>
      <c r="D6" s="17" t="s">
        <v>206</v>
      </c>
      <c r="E6" s="17" t="s">
        <v>207</v>
      </c>
      <c r="F6" s="18"/>
      <c r="G6" s="19" t="s">
        <v>208</v>
      </c>
    </row>
    <row r="7" spans="1:7" ht="40" customHeight="1" x14ac:dyDescent="0.35">
      <c r="A7" s="15" t="s">
        <v>209</v>
      </c>
      <c r="B7" s="16" t="s">
        <v>210</v>
      </c>
      <c r="C7" s="10" t="s">
        <v>211</v>
      </c>
      <c r="D7" s="17" t="s">
        <v>212</v>
      </c>
      <c r="E7" s="17" t="s">
        <v>213</v>
      </c>
      <c r="F7" s="18"/>
      <c r="G7" s="19"/>
    </row>
    <row r="8" spans="1:7" ht="40" customHeight="1" x14ac:dyDescent="0.35">
      <c r="A8" s="15" t="s">
        <v>214</v>
      </c>
      <c r="B8" s="16" t="s">
        <v>215</v>
      </c>
      <c r="C8" s="10" t="s">
        <v>216</v>
      </c>
      <c r="D8" s="17" t="s">
        <v>217</v>
      </c>
      <c r="E8" s="17" t="s">
        <v>218</v>
      </c>
      <c r="F8" s="18"/>
      <c r="G8" s="19"/>
    </row>
    <row r="9" spans="1:7" ht="22" customHeight="1" x14ac:dyDescent="0.35">
      <c r="A9" s="20" t="s">
        <v>219</v>
      </c>
      <c r="B9" s="21">
        <f>SUM(F5:F8)</f>
        <v>0</v>
      </c>
      <c r="C9" s="22"/>
      <c r="D9" s="22"/>
      <c r="E9" s="22"/>
      <c r="F9" s="22"/>
      <c r="G9" s="22"/>
    </row>
    <row r="10" spans="1:7" ht="14" customHeight="1" x14ac:dyDescent="0.35"/>
    <row r="11" spans="1:7" ht="18" customHeight="1" x14ac:dyDescent="0.35">
      <c r="A11" s="44" t="s">
        <v>220</v>
      </c>
      <c r="B11" s="37"/>
      <c r="C11" s="37"/>
      <c r="D11" s="37"/>
      <c r="E11" s="37"/>
      <c r="F11" s="37"/>
      <c r="G11" s="38"/>
    </row>
    <row r="12" spans="1:7" ht="20" customHeight="1" x14ac:dyDescent="0.35">
      <c r="A12" s="1" t="s">
        <v>191</v>
      </c>
      <c r="B12" s="1" t="s">
        <v>192</v>
      </c>
      <c r="C12" s="1" t="s">
        <v>193</v>
      </c>
      <c r="D12" s="1" t="s">
        <v>194</v>
      </c>
      <c r="E12" s="1" t="s">
        <v>195</v>
      </c>
      <c r="F12" s="1" t="s">
        <v>196</v>
      </c>
      <c r="G12" s="1" t="s">
        <v>197</v>
      </c>
    </row>
    <row r="13" spans="1:7" ht="40" customHeight="1" x14ac:dyDescent="0.35">
      <c r="A13" s="15" t="s">
        <v>221</v>
      </c>
      <c r="B13" s="16" t="s">
        <v>222</v>
      </c>
      <c r="C13" s="10" t="s">
        <v>223</v>
      </c>
      <c r="D13" s="17" t="s">
        <v>224</v>
      </c>
      <c r="E13" s="17" t="s">
        <v>225</v>
      </c>
      <c r="F13" s="18"/>
      <c r="G13" s="19"/>
    </row>
    <row r="14" spans="1:7" ht="40" customHeight="1" x14ac:dyDescent="0.35">
      <c r="A14" s="15" t="s">
        <v>226</v>
      </c>
      <c r="B14" s="16" t="s">
        <v>227</v>
      </c>
      <c r="C14" s="10" t="s">
        <v>228</v>
      </c>
      <c r="D14" s="17" t="s">
        <v>229</v>
      </c>
      <c r="E14" s="17" t="s">
        <v>230</v>
      </c>
      <c r="F14" s="18"/>
      <c r="G14" s="19"/>
    </row>
    <row r="15" spans="1:7" ht="40" customHeight="1" x14ac:dyDescent="0.35">
      <c r="A15" s="15" t="s">
        <v>231</v>
      </c>
      <c r="B15" s="16" t="s">
        <v>232</v>
      </c>
      <c r="C15" s="10" t="s">
        <v>233</v>
      </c>
      <c r="D15" s="17" t="s">
        <v>234</v>
      </c>
      <c r="E15" s="17" t="s">
        <v>235</v>
      </c>
      <c r="F15" s="18"/>
      <c r="G15" s="19"/>
    </row>
    <row r="16" spans="1:7" ht="40" customHeight="1" x14ac:dyDescent="0.35">
      <c r="A16" s="15" t="s">
        <v>236</v>
      </c>
      <c r="B16" s="16" t="s">
        <v>237</v>
      </c>
      <c r="C16" s="10" t="s">
        <v>238</v>
      </c>
      <c r="D16" s="17" t="s">
        <v>239</v>
      </c>
      <c r="E16" s="17" t="s">
        <v>240</v>
      </c>
      <c r="F16" s="18"/>
      <c r="G16" s="19"/>
    </row>
    <row r="17" spans="1:7" ht="22" customHeight="1" x14ac:dyDescent="0.35">
      <c r="A17" s="20" t="s">
        <v>241</v>
      </c>
      <c r="B17" s="21">
        <f>SUM(F13:F16)</f>
        <v>0</v>
      </c>
      <c r="C17" s="22"/>
      <c r="D17" s="22"/>
      <c r="E17" s="22"/>
      <c r="F17" s="22"/>
      <c r="G17" s="22"/>
    </row>
    <row r="18" spans="1:7" ht="14" customHeight="1" x14ac:dyDescent="0.35"/>
    <row r="19" spans="1:7" ht="18" customHeight="1" x14ac:dyDescent="0.35">
      <c r="A19" s="45"/>
      <c r="B19" s="37"/>
      <c r="C19" s="37"/>
      <c r="D19" s="37"/>
      <c r="E19" s="37"/>
      <c r="F19" s="37"/>
      <c r="G19" s="38"/>
    </row>
    <row r="20" spans="1:7" ht="20" customHeight="1" x14ac:dyDescent="0.35">
      <c r="A20" s="24"/>
      <c r="B20" s="24"/>
      <c r="C20" s="24"/>
      <c r="D20" s="24"/>
      <c r="E20" s="24"/>
      <c r="F20" s="24"/>
      <c r="G20" s="24"/>
    </row>
    <row r="21" spans="1:7" ht="28" customHeight="1" x14ac:dyDescent="0.35">
      <c r="A21" s="15"/>
      <c r="B21" s="23"/>
      <c r="C21" s="23"/>
      <c r="D21" s="23"/>
      <c r="E21" s="23"/>
      <c r="F21" s="23"/>
      <c r="G21" s="23"/>
    </row>
    <row r="22" spans="1:7" ht="28" customHeight="1" x14ac:dyDescent="0.35">
      <c r="A22" s="15"/>
      <c r="B22" s="23"/>
      <c r="C22" s="23"/>
      <c r="D22" s="23"/>
      <c r="E22" s="23"/>
      <c r="F22" s="23"/>
      <c r="G22" s="23"/>
    </row>
    <row r="23" spans="1:7" ht="28" customHeight="1" x14ac:dyDescent="0.35">
      <c r="A23" s="15"/>
      <c r="B23" s="23"/>
      <c r="C23" s="23"/>
      <c r="D23" s="23"/>
      <c r="E23" s="23"/>
      <c r="F23" s="23"/>
      <c r="G23" s="23"/>
    </row>
  </sheetData>
  <mergeCells count="4">
    <mergeCell ref="A3:G3"/>
    <mergeCell ref="A11:G11"/>
    <mergeCell ref="A19:G19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6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5" x14ac:dyDescent="0.35"/>
  <cols>
    <col min="1" max="1" width="12" customWidth="1"/>
    <col min="2" max="2" width="35.81640625" bestFit="1" customWidth="1"/>
    <col min="3" max="4" width="8" customWidth="1"/>
    <col min="5" max="5" width="24.54296875" customWidth="1"/>
    <col min="6" max="6" width="24" customWidth="1"/>
    <col min="7" max="8" width="10" customWidth="1"/>
    <col min="9" max="9" width="18" customWidth="1"/>
    <col min="10" max="10" width="16" customWidth="1"/>
    <col min="11" max="11" width="30" customWidth="1"/>
  </cols>
  <sheetData>
    <row r="1" spans="1:11" ht="22" customHeight="1" x14ac:dyDescent="0.35">
      <c r="A1" s="1" t="s">
        <v>242</v>
      </c>
      <c r="B1" s="1" t="s">
        <v>120</v>
      </c>
      <c r="C1" s="1" t="s">
        <v>28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197</v>
      </c>
    </row>
    <row r="2" spans="1:11" x14ac:dyDescent="0.35">
      <c r="A2" t="s">
        <v>40</v>
      </c>
      <c r="B2" t="s">
        <v>250</v>
      </c>
      <c r="C2" t="s">
        <v>41</v>
      </c>
      <c r="D2">
        <v>1</v>
      </c>
      <c r="F2" t="s">
        <v>251</v>
      </c>
      <c r="G2" t="s">
        <v>252</v>
      </c>
      <c r="H2" t="s">
        <v>253</v>
      </c>
      <c r="I2" t="s">
        <v>254</v>
      </c>
      <c r="J2" t="s">
        <v>255</v>
      </c>
    </row>
    <row r="3" spans="1:11" x14ac:dyDescent="0.35">
      <c r="A3" t="s">
        <v>40</v>
      </c>
      <c r="B3" t="s">
        <v>250</v>
      </c>
      <c r="C3" t="s">
        <v>41</v>
      </c>
      <c r="D3">
        <v>2</v>
      </c>
      <c r="F3" t="s">
        <v>251</v>
      </c>
      <c r="G3" t="s">
        <v>252</v>
      </c>
      <c r="H3" t="s">
        <v>253</v>
      </c>
      <c r="I3" t="s">
        <v>254</v>
      </c>
      <c r="J3" t="s">
        <v>255</v>
      </c>
    </row>
    <row r="4" spans="1:11" x14ac:dyDescent="0.35">
      <c r="A4" t="s">
        <v>40</v>
      </c>
      <c r="B4" t="s">
        <v>250</v>
      </c>
      <c r="C4" t="s">
        <v>41</v>
      </c>
      <c r="D4">
        <v>3</v>
      </c>
      <c r="F4" t="s">
        <v>251</v>
      </c>
      <c r="G4" t="s">
        <v>252</v>
      </c>
      <c r="H4" t="s">
        <v>253</v>
      </c>
      <c r="I4" t="s">
        <v>254</v>
      </c>
      <c r="J4" t="s">
        <v>255</v>
      </c>
    </row>
    <row r="5" spans="1:11" x14ac:dyDescent="0.35">
      <c r="A5" t="s">
        <v>40</v>
      </c>
      <c r="B5" t="s">
        <v>250</v>
      </c>
      <c r="C5" t="s">
        <v>41</v>
      </c>
      <c r="D5">
        <v>4</v>
      </c>
      <c r="F5" t="s">
        <v>251</v>
      </c>
      <c r="G5" t="s">
        <v>252</v>
      </c>
      <c r="H5" t="s">
        <v>253</v>
      </c>
      <c r="I5" t="s">
        <v>254</v>
      </c>
      <c r="J5" t="s">
        <v>255</v>
      </c>
    </row>
    <row r="6" spans="1:11" x14ac:dyDescent="0.35">
      <c r="A6" t="s">
        <v>40</v>
      </c>
      <c r="B6" t="s">
        <v>250</v>
      </c>
      <c r="C6" t="s">
        <v>41</v>
      </c>
      <c r="D6">
        <v>5</v>
      </c>
      <c r="F6" t="s">
        <v>251</v>
      </c>
      <c r="G6" t="s">
        <v>252</v>
      </c>
      <c r="H6" t="s">
        <v>253</v>
      </c>
      <c r="I6" t="s">
        <v>254</v>
      </c>
      <c r="J6" t="s">
        <v>255</v>
      </c>
    </row>
    <row r="7" spans="1:11" x14ac:dyDescent="0.35">
      <c r="A7" t="s">
        <v>40</v>
      </c>
      <c r="B7" t="s">
        <v>250</v>
      </c>
      <c r="C7" t="s">
        <v>41</v>
      </c>
      <c r="D7">
        <v>6</v>
      </c>
      <c r="F7" t="s">
        <v>251</v>
      </c>
      <c r="G7" t="s">
        <v>252</v>
      </c>
      <c r="H7" t="s">
        <v>253</v>
      </c>
      <c r="I7" t="s">
        <v>254</v>
      </c>
      <c r="J7" t="s">
        <v>255</v>
      </c>
    </row>
    <row r="8" spans="1:11" x14ac:dyDescent="0.35">
      <c r="A8" t="s">
        <v>40</v>
      </c>
      <c r="B8" t="s">
        <v>250</v>
      </c>
      <c r="C8" t="s">
        <v>41</v>
      </c>
      <c r="D8">
        <v>7</v>
      </c>
      <c r="F8" t="s">
        <v>251</v>
      </c>
      <c r="G8" t="s">
        <v>252</v>
      </c>
      <c r="H8" t="s">
        <v>253</v>
      </c>
      <c r="I8" t="s">
        <v>254</v>
      </c>
      <c r="J8" t="s">
        <v>255</v>
      </c>
    </row>
    <row r="9" spans="1:11" x14ac:dyDescent="0.35">
      <c r="A9" t="s">
        <v>53</v>
      </c>
      <c r="B9" t="s">
        <v>256</v>
      </c>
      <c r="C9" t="s">
        <v>41</v>
      </c>
      <c r="D9">
        <v>1</v>
      </c>
      <c r="F9" t="s">
        <v>251</v>
      </c>
      <c r="G9" t="s">
        <v>252</v>
      </c>
      <c r="H9" t="s">
        <v>253</v>
      </c>
      <c r="I9" t="s">
        <v>257</v>
      </c>
      <c r="J9" t="s">
        <v>255</v>
      </c>
    </row>
    <row r="10" spans="1:11" x14ac:dyDescent="0.35">
      <c r="A10" t="s">
        <v>53</v>
      </c>
      <c r="B10" t="s">
        <v>256</v>
      </c>
      <c r="C10" t="s">
        <v>41</v>
      </c>
      <c r="D10">
        <v>2</v>
      </c>
      <c r="F10" t="s">
        <v>251</v>
      </c>
      <c r="G10" t="s">
        <v>252</v>
      </c>
      <c r="H10" t="s">
        <v>253</v>
      </c>
      <c r="I10" t="s">
        <v>257</v>
      </c>
      <c r="J10" t="s">
        <v>255</v>
      </c>
    </row>
    <row r="11" spans="1:11" x14ac:dyDescent="0.35">
      <c r="A11" t="s">
        <v>53</v>
      </c>
      <c r="B11" t="s">
        <v>256</v>
      </c>
      <c r="C11" t="s">
        <v>41</v>
      </c>
      <c r="D11">
        <v>3</v>
      </c>
      <c r="F11" t="s">
        <v>251</v>
      </c>
      <c r="G11" t="s">
        <v>252</v>
      </c>
      <c r="H11" t="s">
        <v>253</v>
      </c>
      <c r="I11" t="s">
        <v>257</v>
      </c>
      <c r="J11" t="s">
        <v>255</v>
      </c>
    </row>
    <row r="12" spans="1:11" x14ac:dyDescent="0.35">
      <c r="A12" t="s">
        <v>53</v>
      </c>
      <c r="B12" t="s">
        <v>256</v>
      </c>
      <c r="C12" t="s">
        <v>41</v>
      </c>
      <c r="D12">
        <v>4</v>
      </c>
      <c r="F12" t="s">
        <v>251</v>
      </c>
      <c r="G12" t="s">
        <v>252</v>
      </c>
      <c r="H12" t="s">
        <v>253</v>
      </c>
      <c r="I12" t="s">
        <v>257</v>
      </c>
      <c r="J12" t="s">
        <v>255</v>
      </c>
    </row>
    <row r="13" spans="1:11" x14ac:dyDescent="0.35">
      <c r="A13" t="s">
        <v>53</v>
      </c>
      <c r="B13" t="s">
        <v>256</v>
      </c>
      <c r="C13" t="s">
        <v>41</v>
      </c>
      <c r="D13">
        <v>5</v>
      </c>
      <c r="F13" t="s">
        <v>251</v>
      </c>
      <c r="G13" t="s">
        <v>252</v>
      </c>
      <c r="H13" t="s">
        <v>253</v>
      </c>
      <c r="I13" t="s">
        <v>257</v>
      </c>
      <c r="J13" t="s">
        <v>255</v>
      </c>
    </row>
    <row r="14" spans="1:11" x14ac:dyDescent="0.35">
      <c r="A14" t="s">
        <v>53</v>
      </c>
      <c r="B14" t="s">
        <v>256</v>
      </c>
      <c r="C14" t="s">
        <v>41</v>
      </c>
      <c r="D14">
        <v>6</v>
      </c>
      <c r="F14" t="s">
        <v>251</v>
      </c>
      <c r="G14" t="s">
        <v>252</v>
      </c>
      <c r="H14" t="s">
        <v>253</v>
      </c>
      <c r="I14" t="s">
        <v>257</v>
      </c>
      <c r="J14" t="s">
        <v>255</v>
      </c>
    </row>
    <row r="15" spans="1:11" x14ac:dyDescent="0.35">
      <c r="A15" t="s">
        <v>53</v>
      </c>
      <c r="B15" t="s">
        <v>256</v>
      </c>
      <c r="C15" t="s">
        <v>41</v>
      </c>
      <c r="D15">
        <v>7</v>
      </c>
      <c r="F15" t="s">
        <v>251</v>
      </c>
      <c r="G15" t="s">
        <v>252</v>
      </c>
      <c r="H15" t="s">
        <v>253</v>
      </c>
      <c r="I15" t="s">
        <v>257</v>
      </c>
      <c r="J15" t="s">
        <v>255</v>
      </c>
    </row>
    <row r="16" spans="1:11" x14ac:dyDescent="0.35">
      <c r="A16" t="s">
        <v>65</v>
      </c>
      <c r="B16" t="s">
        <v>258</v>
      </c>
      <c r="C16" t="s">
        <v>66</v>
      </c>
      <c r="D16">
        <v>1</v>
      </c>
      <c r="F16" t="s">
        <v>251</v>
      </c>
      <c r="G16" t="s">
        <v>252</v>
      </c>
      <c r="H16" t="s">
        <v>253</v>
      </c>
      <c r="I16" t="s">
        <v>257</v>
      </c>
      <c r="J16" t="s">
        <v>255</v>
      </c>
    </row>
    <row r="17" spans="1:10" x14ac:dyDescent="0.35">
      <c r="A17" t="s">
        <v>65</v>
      </c>
      <c r="B17" t="s">
        <v>258</v>
      </c>
      <c r="C17" t="s">
        <v>66</v>
      </c>
      <c r="D17">
        <v>2</v>
      </c>
      <c r="F17" t="s">
        <v>251</v>
      </c>
      <c r="G17" t="s">
        <v>252</v>
      </c>
      <c r="H17" t="s">
        <v>253</v>
      </c>
      <c r="I17" t="s">
        <v>257</v>
      </c>
      <c r="J17" t="s">
        <v>255</v>
      </c>
    </row>
    <row r="18" spans="1:10" x14ac:dyDescent="0.35">
      <c r="A18" t="s">
        <v>65</v>
      </c>
      <c r="B18" t="s">
        <v>258</v>
      </c>
      <c r="C18" t="s">
        <v>66</v>
      </c>
      <c r="D18">
        <v>3</v>
      </c>
      <c r="F18" t="s">
        <v>251</v>
      </c>
      <c r="G18" t="s">
        <v>252</v>
      </c>
      <c r="H18" t="s">
        <v>253</v>
      </c>
      <c r="I18" t="s">
        <v>257</v>
      </c>
      <c r="J18" t="s">
        <v>255</v>
      </c>
    </row>
    <row r="19" spans="1:10" x14ac:dyDescent="0.35">
      <c r="A19" t="s">
        <v>65</v>
      </c>
      <c r="B19" t="s">
        <v>258</v>
      </c>
      <c r="C19" t="s">
        <v>66</v>
      </c>
      <c r="D19">
        <v>4</v>
      </c>
      <c r="F19" t="s">
        <v>251</v>
      </c>
      <c r="G19" t="s">
        <v>252</v>
      </c>
      <c r="H19" t="s">
        <v>253</v>
      </c>
      <c r="I19" t="s">
        <v>257</v>
      </c>
      <c r="J19" t="s">
        <v>255</v>
      </c>
    </row>
    <row r="20" spans="1:10" x14ac:dyDescent="0.35">
      <c r="A20" t="s">
        <v>65</v>
      </c>
      <c r="B20" t="s">
        <v>258</v>
      </c>
      <c r="C20" t="s">
        <v>66</v>
      </c>
      <c r="D20">
        <v>5</v>
      </c>
      <c r="F20" t="s">
        <v>251</v>
      </c>
      <c r="G20" t="s">
        <v>252</v>
      </c>
      <c r="H20" t="s">
        <v>253</v>
      </c>
      <c r="I20" t="s">
        <v>257</v>
      </c>
      <c r="J20" t="s">
        <v>255</v>
      </c>
    </row>
    <row r="21" spans="1:10" x14ac:dyDescent="0.35">
      <c r="A21" t="s">
        <v>65</v>
      </c>
      <c r="B21" t="s">
        <v>258</v>
      </c>
      <c r="C21" t="s">
        <v>66</v>
      </c>
      <c r="D21">
        <v>6</v>
      </c>
      <c r="F21" t="s">
        <v>251</v>
      </c>
      <c r="G21" t="s">
        <v>252</v>
      </c>
      <c r="H21" t="s">
        <v>253</v>
      </c>
      <c r="I21" t="s">
        <v>257</v>
      </c>
      <c r="J21" t="s">
        <v>255</v>
      </c>
    </row>
    <row r="22" spans="1:10" x14ac:dyDescent="0.35">
      <c r="A22" t="s">
        <v>65</v>
      </c>
      <c r="B22" t="s">
        <v>258</v>
      </c>
      <c r="C22" t="s">
        <v>66</v>
      </c>
      <c r="D22">
        <v>7</v>
      </c>
      <c r="F22" t="s">
        <v>251</v>
      </c>
      <c r="G22" t="s">
        <v>252</v>
      </c>
      <c r="H22" t="s">
        <v>253</v>
      </c>
      <c r="I22" t="s">
        <v>257</v>
      </c>
      <c r="J22" t="s">
        <v>255</v>
      </c>
    </row>
    <row r="23" spans="1:10" x14ac:dyDescent="0.35">
      <c r="A23" t="s">
        <v>78</v>
      </c>
      <c r="B23" t="s">
        <v>259</v>
      </c>
      <c r="C23" t="s">
        <v>79</v>
      </c>
      <c r="D23">
        <v>1</v>
      </c>
      <c r="F23" t="s">
        <v>251</v>
      </c>
      <c r="G23" t="s">
        <v>252</v>
      </c>
      <c r="H23" t="s">
        <v>253</v>
      </c>
      <c r="I23" t="s">
        <v>257</v>
      </c>
      <c r="J23" t="s">
        <v>255</v>
      </c>
    </row>
    <row r="24" spans="1:10" x14ac:dyDescent="0.35">
      <c r="A24" t="s">
        <v>78</v>
      </c>
      <c r="B24" t="s">
        <v>259</v>
      </c>
      <c r="C24" t="s">
        <v>79</v>
      </c>
      <c r="D24">
        <v>2</v>
      </c>
      <c r="F24" t="s">
        <v>251</v>
      </c>
      <c r="G24" t="s">
        <v>252</v>
      </c>
      <c r="H24" t="s">
        <v>253</v>
      </c>
      <c r="I24" t="s">
        <v>257</v>
      </c>
      <c r="J24" t="s">
        <v>255</v>
      </c>
    </row>
    <row r="25" spans="1:10" x14ac:dyDescent="0.35">
      <c r="A25" t="s">
        <v>78</v>
      </c>
      <c r="B25" t="s">
        <v>259</v>
      </c>
      <c r="C25" t="s">
        <v>79</v>
      </c>
      <c r="D25">
        <v>3</v>
      </c>
      <c r="F25" t="s">
        <v>251</v>
      </c>
      <c r="G25" t="s">
        <v>252</v>
      </c>
      <c r="H25" t="s">
        <v>253</v>
      </c>
      <c r="I25" t="s">
        <v>257</v>
      </c>
      <c r="J25" t="s">
        <v>255</v>
      </c>
    </row>
    <row r="26" spans="1:10" x14ac:dyDescent="0.35">
      <c r="A26" t="s">
        <v>78</v>
      </c>
      <c r="B26" t="s">
        <v>259</v>
      </c>
      <c r="C26" t="s">
        <v>79</v>
      </c>
      <c r="D26">
        <v>4</v>
      </c>
      <c r="F26" t="s">
        <v>251</v>
      </c>
      <c r="G26" t="s">
        <v>252</v>
      </c>
      <c r="H26" t="s">
        <v>253</v>
      </c>
      <c r="I26" t="s">
        <v>257</v>
      </c>
      <c r="J26" t="s">
        <v>255</v>
      </c>
    </row>
    <row r="27" spans="1:10" x14ac:dyDescent="0.35">
      <c r="A27" t="s">
        <v>78</v>
      </c>
      <c r="B27" t="s">
        <v>259</v>
      </c>
      <c r="C27" t="s">
        <v>79</v>
      </c>
      <c r="D27">
        <v>5</v>
      </c>
      <c r="F27" t="s">
        <v>251</v>
      </c>
      <c r="G27" t="s">
        <v>252</v>
      </c>
      <c r="H27" t="s">
        <v>253</v>
      </c>
      <c r="I27" t="s">
        <v>257</v>
      </c>
      <c r="J27" t="s">
        <v>255</v>
      </c>
    </row>
    <row r="28" spans="1:10" x14ac:dyDescent="0.35">
      <c r="A28" t="s">
        <v>78</v>
      </c>
      <c r="B28" t="s">
        <v>259</v>
      </c>
      <c r="C28" t="s">
        <v>79</v>
      </c>
      <c r="D28">
        <v>6</v>
      </c>
      <c r="F28" t="s">
        <v>251</v>
      </c>
      <c r="G28" t="s">
        <v>252</v>
      </c>
      <c r="H28" t="s">
        <v>253</v>
      </c>
      <c r="I28" t="s">
        <v>257</v>
      </c>
      <c r="J28" t="s">
        <v>255</v>
      </c>
    </row>
    <row r="29" spans="1:10" x14ac:dyDescent="0.35">
      <c r="A29" t="s">
        <v>78</v>
      </c>
      <c r="B29" t="s">
        <v>259</v>
      </c>
      <c r="C29" t="s">
        <v>79</v>
      </c>
      <c r="D29">
        <v>7</v>
      </c>
      <c r="E29" t="s">
        <v>260</v>
      </c>
      <c r="F29" t="s">
        <v>261</v>
      </c>
      <c r="G29" t="s">
        <v>252</v>
      </c>
      <c r="H29" t="s">
        <v>253</v>
      </c>
      <c r="I29" t="s">
        <v>257</v>
      </c>
      <c r="J29" t="s">
        <v>255</v>
      </c>
    </row>
    <row r="30" spans="1:10" x14ac:dyDescent="0.35">
      <c r="A30" t="s">
        <v>91</v>
      </c>
      <c r="B30" t="s">
        <v>262</v>
      </c>
      <c r="C30" t="s">
        <v>79</v>
      </c>
      <c r="D30">
        <v>1</v>
      </c>
      <c r="F30" t="s">
        <v>251</v>
      </c>
      <c r="G30" t="s">
        <v>252</v>
      </c>
      <c r="H30" t="s">
        <v>253</v>
      </c>
      <c r="I30" t="s">
        <v>257</v>
      </c>
      <c r="J30" t="s">
        <v>255</v>
      </c>
    </row>
    <row r="31" spans="1:10" x14ac:dyDescent="0.35">
      <c r="A31" t="s">
        <v>91</v>
      </c>
      <c r="B31" t="s">
        <v>262</v>
      </c>
      <c r="C31" t="s">
        <v>79</v>
      </c>
      <c r="D31">
        <v>2</v>
      </c>
      <c r="F31" t="s">
        <v>251</v>
      </c>
      <c r="G31" t="s">
        <v>252</v>
      </c>
      <c r="H31" t="s">
        <v>253</v>
      </c>
      <c r="I31" t="s">
        <v>257</v>
      </c>
      <c r="J31" t="s">
        <v>255</v>
      </c>
    </row>
    <row r="32" spans="1:10" x14ac:dyDescent="0.35">
      <c r="A32" t="s">
        <v>91</v>
      </c>
      <c r="B32" t="s">
        <v>262</v>
      </c>
      <c r="C32" t="s">
        <v>79</v>
      </c>
      <c r="D32">
        <v>3</v>
      </c>
      <c r="F32" t="s">
        <v>251</v>
      </c>
      <c r="G32" t="s">
        <v>252</v>
      </c>
      <c r="H32" t="s">
        <v>253</v>
      </c>
      <c r="I32" t="s">
        <v>257</v>
      </c>
      <c r="J32" t="s">
        <v>255</v>
      </c>
    </row>
    <row r="33" spans="1:10" x14ac:dyDescent="0.35">
      <c r="A33" t="s">
        <v>91</v>
      </c>
      <c r="B33" t="s">
        <v>262</v>
      </c>
      <c r="C33" t="s">
        <v>79</v>
      </c>
      <c r="D33">
        <v>4</v>
      </c>
      <c r="F33" t="s">
        <v>251</v>
      </c>
      <c r="G33" t="s">
        <v>252</v>
      </c>
      <c r="H33" t="s">
        <v>253</v>
      </c>
      <c r="I33" t="s">
        <v>257</v>
      </c>
      <c r="J33" t="s">
        <v>255</v>
      </c>
    </row>
    <row r="34" spans="1:10" x14ac:dyDescent="0.35">
      <c r="A34" t="s">
        <v>91</v>
      </c>
      <c r="B34" t="s">
        <v>262</v>
      </c>
      <c r="C34" t="s">
        <v>79</v>
      </c>
      <c r="D34">
        <v>5</v>
      </c>
      <c r="F34" t="s">
        <v>251</v>
      </c>
      <c r="G34" t="s">
        <v>252</v>
      </c>
      <c r="H34" t="s">
        <v>253</v>
      </c>
      <c r="I34" t="s">
        <v>257</v>
      </c>
      <c r="J34" t="s">
        <v>255</v>
      </c>
    </row>
    <row r="35" spans="1:10" x14ac:dyDescent="0.35">
      <c r="A35" t="s">
        <v>91</v>
      </c>
      <c r="B35" t="s">
        <v>262</v>
      </c>
      <c r="C35" t="s">
        <v>79</v>
      </c>
      <c r="D35">
        <v>6</v>
      </c>
      <c r="F35" t="s">
        <v>251</v>
      </c>
      <c r="G35" t="s">
        <v>252</v>
      </c>
      <c r="H35" t="s">
        <v>253</v>
      </c>
      <c r="I35" t="s">
        <v>257</v>
      </c>
      <c r="J35" t="s">
        <v>255</v>
      </c>
    </row>
    <row r="36" spans="1:10" x14ac:dyDescent="0.35">
      <c r="A36" t="s">
        <v>91</v>
      </c>
      <c r="B36" t="s">
        <v>262</v>
      </c>
      <c r="C36" t="s">
        <v>79</v>
      </c>
      <c r="D36">
        <v>7</v>
      </c>
      <c r="F36" t="s">
        <v>251</v>
      </c>
      <c r="G36" t="s">
        <v>252</v>
      </c>
      <c r="H36" t="s">
        <v>253</v>
      </c>
      <c r="I36" t="s">
        <v>257</v>
      </c>
      <c r="J36" t="s">
        <v>255</v>
      </c>
    </row>
    <row r="37" spans="1:10" x14ac:dyDescent="0.35">
      <c r="A37" t="s">
        <v>40</v>
      </c>
      <c r="B37" t="s">
        <v>250</v>
      </c>
      <c r="C37" t="s">
        <v>41</v>
      </c>
      <c r="D37">
        <v>1</v>
      </c>
      <c r="F37" t="s">
        <v>251</v>
      </c>
      <c r="G37" t="s">
        <v>252</v>
      </c>
      <c r="H37" t="s">
        <v>253</v>
      </c>
      <c r="I37" t="s">
        <v>254</v>
      </c>
      <c r="J37" t="s">
        <v>263</v>
      </c>
    </row>
    <row r="38" spans="1:10" x14ac:dyDescent="0.35">
      <c r="A38" t="s">
        <v>40</v>
      </c>
      <c r="B38" t="s">
        <v>250</v>
      </c>
      <c r="C38" t="s">
        <v>41</v>
      </c>
      <c r="D38">
        <v>2</v>
      </c>
      <c r="F38" t="s">
        <v>251</v>
      </c>
      <c r="G38" t="s">
        <v>252</v>
      </c>
      <c r="H38" t="s">
        <v>253</v>
      </c>
      <c r="I38" t="s">
        <v>254</v>
      </c>
      <c r="J38" t="s">
        <v>263</v>
      </c>
    </row>
    <row r="39" spans="1:10" x14ac:dyDescent="0.35">
      <c r="A39" t="s">
        <v>40</v>
      </c>
      <c r="B39" t="s">
        <v>250</v>
      </c>
      <c r="C39" t="s">
        <v>41</v>
      </c>
      <c r="D39">
        <v>3</v>
      </c>
      <c r="F39" t="s">
        <v>251</v>
      </c>
      <c r="G39" t="s">
        <v>252</v>
      </c>
      <c r="H39" t="s">
        <v>253</v>
      </c>
      <c r="I39" t="s">
        <v>254</v>
      </c>
      <c r="J39" t="s">
        <v>263</v>
      </c>
    </row>
    <row r="40" spans="1:10" x14ac:dyDescent="0.35">
      <c r="A40" t="s">
        <v>40</v>
      </c>
      <c r="B40" t="s">
        <v>250</v>
      </c>
      <c r="C40" t="s">
        <v>41</v>
      </c>
      <c r="D40">
        <v>4</v>
      </c>
      <c r="F40" t="s">
        <v>251</v>
      </c>
      <c r="G40" t="s">
        <v>252</v>
      </c>
      <c r="H40" t="s">
        <v>253</v>
      </c>
      <c r="I40" t="s">
        <v>254</v>
      </c>
      <c r="J40" t="s">
        <v>263</v>
      </c>
    </row>
    <row r="41" spans="1:10" x14ac:dyDescent="0.35">
      <c r="A41" t="s">
        <v>40</v>
      </c>
      <c r="B41" t="s">
        <v>250</v>
      </c>
      <c r="C41" t="s">
        <v>41</v>
      </c>
      <c r="D41">
        <v>5</v>
      </c>
      <c r="F41" t="s">
        <v>251</v>
      </c>
      <c r="G41" t="s">
        <v>252</v>
      </c>
      <c r="H41" t="s">
        <v>253</v>
      </c>
      <c r="I41" t="s">
        <v>254</v>
      </c>
      <c r="J41" t="s">
        <v>263</v>
      </c>
    </row>
    <row r="42" spans="1:10" x14ac:dyDescent="0.35">
      <c r="A42" t="s">
        <v>40</v>
      </c>
      <c r="B42" t="s">
        <v>250</v>
      </c>
      <c r="C42" t="s">
        <v>41</v>
      </c>
      <c r="D42">
        <v>6</v>
      </c>
      <c r="F42" t="s">
        <v>251</v>
      </c>
      <c r="G42" t="s">
        <v>252</v>
      </c>
      <c r="H42" t="s">
        <v>253</v>
      </c>
      <c r="I42" t="s">
        <v>254</v>
      </c>
      <c r="J42" t="s">
        <v>263</v>
      </c>
    </row>
    <row r="43" spans="1:10" x14ac:dyDescent="0.35">
      <c r="A43" t="s">
        <v>40</v>
      </c>
      <c r="B43" t="s">
        <v>250</v>
      </c>
      <c r="C43" t="s">
        <v>41</v>
      </c>
      <c r="D43">
        <v>7</v>
      </c>
      <c r="F43" t="s">
        <v>251</v>
      </c>
      <c r="G43" t="s">
        <v>252</v>
      </c>
      <c r="H43" t="s">
        <v>253</v>
      </c>
      <c r="I43" t="s">
        <v>254</v>
      </c>
      <c r="J43" t="s">
        <v>263</v>
      </c>
    </row>
    <row r="44" spans="1:10" x14ac:dyDescent="0.35">
      <c r="A44" t="s">
        <v>53</v>
      </c>
      <c r="B44" t="s">
        <v>256</v>
      </c>
      <c r="C44" t="s">
        <v>41</v>
      </c>
      <c r="D44">
        <v>1</v>
      </c>
      <c r="F44" t="s">
        <v>251</v>
      </c>
      <c r="G44" t="s">
        <v>252</v>
      </c>
      <c r="H44" t="s">
        <v>253</v>
      </c>
      <c r="I44" t="s">
        <v>257</v>
      </c>
      <c r="J44" t="s">
        <v>263</v>
      </c>
    </row>
    <row r="45" spans="1:10" x14ac:dyDescent="0.35">
      <c r="A45" t="s">
        <v>53</v>
      </c>
      <c r="B45" t="s">
        <v>256</v>
      </c>
      <c r="C45" t="s">
        <v>41</v>
      </c>
      <c r="D45">
        <v>2</v>
      </c>
      <c r="F45" t="s">
        <v>251</v>
      </c>
      <c r="G45" t="s">
        <v>252</v>
      </c>
      <c r="H45" t="s">
        <v>253</v>
      </c>
      <c r="I45" t="s">
        <v>257</v>
      </c>
      <c r="J45" t="s">
        <v>263</v>
      </c>
    </row>
    <row r="46" spans="1:10" x14ac:dyDescent="0.35">
      <c r="A46" t="s">
        <v>53</v>
      </c>
      <c r="B46" t="s">
        <v>256</v>
      </c>
      <c r="C46" t="s">
        <v>41</v>
      </c>
      <c r="D46">
        <v>3</v>
      </c>
      <c r="F46" t="s">
        <v>251</v>
      </c>
      <c r="G46" t="s">
        <v>252</v>
      </c>
      <c r="H46" t="s">
        <v>253</v>
      </c>
      <c r="I46" t="s">
        <v>257</v>
      </c>
      <c r="J46" t="s">
        <v>263</v>
      </c>
    </row>
    <row r="47" spans="1:10" x14ac:dyDescent="0.35">
      <c r="A47" t="s">
        <v>53</v>
      </c>
      <c r="B47" t="s">
        <v>256</v>
      </c>
      <c r="C47" t="s">
        <v>41</v>
      </c>
      <c r="D47">
        <v>4</v>
      </c>
      <c r="F47" t="s">
        <v>251</v>
      </c>
      <c r="G47" t="s">
        <v>252</v>
      </c>
      <c r="H47" t="s">
        <v>253</v>
      </c>
      <c r="I47" t="s">
        <v>257</v>
      </c>
      <c r="J47" t="s">
        <v>263</v>
      </c>
    </row>
    <row r="48" spans="1:10" x14ac:dyDescent="0.35">
      <c r="A48" t="s">
        <v>53</v>
      </c>
      <c r="B48" t="s">
        <v>256</v>
      </c>
      <c r="C48" t="s">
        <v>41</v>
      </c>
      <c r="D48">
        <v>5</v>
      </c>
      <c r="F48" t="s">
        <v>251</v>
      </c>
      <c r="G48" t="s">
        <v>252</v>
      </c>
      <c r="H48" t="s">
        <v>253</v>
      </c>
      <c r="I48" t="s">
        <v>257</v>
      </c>
      <c r="J48" t="s">
        <v>263</v>
      </c>
    </row>
    <row r="49" spans="1:10" x14ac:dyDescent="0.35">
      <c r="A49" t="s">
        <v>53</v>
      </c>
      <c r="B49" t="s">
        <v>256</v>
      </c>
      <c r="C49" t="s">
        <v>41</v>
      </c>
      <c r="D49">
        <v>6</v>
      </c>
      <c r="E49" t="s">
        <v>59</v>
      </c>
      <c r="F49" t="s">
        <v>261</v>
      </c>
      <c r="G49" t="s">
        <v>264</v>
      </c>
      <c r="H49" t="s">
        <v>253</v>
      </c>
      <c r="I49" t="s">
        <v>257</v>
      </c>
      <c r="J49" t="s">
        <v>263</v>
      </c>
    </row>
    <row r="50" spans="1:10" x14ac:dyDescent="0.35">
      <c r="A50" t="s">
        <v>53</v>
      </c>
      <c r="B50" t="s">
        <v>256</v>
      </c>
      <c r="C50" t="s">
        <v>41</v>
      </c>
      <c r="D50">
        <v>7</v>
      </c>
      <c r="F50" t="s">
        <v>251</v>
      </c>
      <c r="G50" t="s">
        <v>252</v>
      </c>
      <c r="H50" t="s">
        <v>253</v>
      </c>
      <c r="I50" t="s">
        <v>257</v>
      </c>
      <c r="J50" t="s">
        <v>263</v>
      </c>
    </row>
    <row r="51" spans="1:10" x14ac:dyDescent="0.35">
      <c r="A51" t="s">
        <v>65</v>
      </c>
      <c r="B51" t="s">
        <v>258</v>
      </c>
      <c r="C51" t="s">
        <v>66</v>
      </c>
      <c r="D51">
        <v>1</v>
      </c>
      <c r="F51" t="s">
        <v>251</v>
      </c>
      <c r="G51" t="s">
        <v>252</v>
      </c>
      <c r="H51" t="s">
        <v>253</v>
      </c>
      <c r="I51" t="s">
        <v>257</v>
      </c>
      <c r="J51" t="s">
        <v>263</v>
      </c>
    </row>
    <row r="52" spans="1:10" x14ac:dyDescent="0.35">
      <c r="A52" t="s">
        <v>65</v>
      </c>
      <c r="B52" t="s">
        <v>258</v>
      </c>
      <c r="C52" t="s">
        <v>66</v>
      </c>
      <c r="D52">
        <v>2</v>
      </c>
      <c r="F52" t="s">
        <v>251</v>
      </c>
      <c r="G52" t="s">
        <v>252</v>
      </c>
      <c r="H52" t="s">
        <v>253</v>
      </c>
      <c r="I52" t="s">
        <v>257</v>
      </c>
      <c r="J52" t="s">
        <v>263</v>
      </c>
    </row>
    <row r="53" spans="1:10" x14ac:dyDescent="0.35">
      <c r="A53" t="s">
        <v>65</v>
      </c>
      <c r="B53" t="s">
        <v>258</v>
      </c>
      <c r="C53" t="s">
        <v>66</v>
      </c>
      <c r="D53">
        <v>3</v>
      </c>
      <c r="F53" t="s">
        <v>251</v>
      </c>
      <c r="G53" t="s">
        <v>252</v>
      </c>
      <c r="H53" t="s">
        <v>253</v>
      </c>
      <c r="I53" t="s">
        <v>257</v>
      </c>
      <c r="J53" t="s">
        <v>263</v>
      </c>
    </row>
    <row r="54" spans="1:10" x14ac:dyDescent="0.35">
      <c r="A54" t="s">
        <v>65</v>
      </c>
      <c r="B54" t="s">
        <v>258</v>
      </c>
      <c r="C54" t="s">
        <v>66</v>
      </c>
      <c r="D54">
        <v>4</v>
      </c>
      <c r="F54" t="s">
        <v>251</v>
      </c>
      <c r="G54" t="s">
        <v>252</v>
      </c>
      <c r="H54" t="s">
        <v>253</v>
      </c>
      <c r="I54" t="s">
        <v>257</v>
      </c>
      <c r="J54" t="s">
        <v>263</v>
      </c>
    </row>
    <row r="55" spans="1:10" x14ac:dyDescent="0.35">
      <c r="A55" t="s">
        <v>65</v>
      </c>
      <c r="B55" t="s">
        <v>258</v>
      </c>
      <c r="C55" t="s">
        <v>66</v>
      </c>
      <c r="D55">
        <v>5</v>
      </c>
      <c r="F55" t="s">
        <v>251</v>
      </c>
      <c r="G55" t="s">
        <v>252</v>
      </c>
      <c r="H55" t="s">
        <v>253</v>
      </c>
      <c r="I55" t="s">
        <v>257</v>
      </c>
      <c r="J55" t="s">
        <v>263</v>
      </c>
    </row>
    <row r="56" spans="1:10" x14ac:dyDescent="0.35">
      <c r="A56" t="s">
        <v>65</v>
      </c>
      <c r="B56" t="s">
        <v>258</v>
      </c>
      <c r="C56" t="s">
        <v>66</v>
      </c>
      <c r="D56">
        <v>6</v>
      </c>
      <c r="F56" t="s">
        <v>251</v>
      </c>
      <c r="G56" t="s">
        <v>252</v>
      </c>
      <c r="H56" t="s">
        <v>253</v>
      </c>
      <c r="I56" t="s">
        <v>257</v>
      </c>
      <c r="J56" t="s">
        <v>263</v>
      </c>
    </row>
    <row r="57" spans="1:10" x14ac:dyDescent="0.35">
      <c r="A57" t="s">
        <v>65</v>
      </c>
      <c r="B57" t="s">
        <v>258</v>
      </c>
      <c r="C57" t="s">
        <v>66</v>
      </c>
      <c r="D57">
        <v>7</v>
      </c>
      <c r="F57" t="s">
        <v>251</v>
      </c>
      <c r="G57" t="s">
        <v>252</v>
      </c>
      <c r="H57" t="s">
        <v>253</v>
      </c>
      <c r="I57" t="s">
        <v>257</v>
      </c>
      <c r="J57" t="s">
        <v>263</v>
      </c>
    </row>
    <row r="58" spans="1:10" x14ac:dyDescent="0.35">
      <c r="A58" t="s">
        <v>78</v>
      </c>
      <c r="B58" t="s">
        <v>259</v>
      </c>
      <c r="C58" t="s">
        <v>79</v>
      </c>
      <c r="D58">
        <v>1</v>
      </c>
      <c r="F58" t="s">
        <v>251</v>
      </c>
      <c r="G58" t="s">
        <v>252</v>
      </c>
      <c r="H58" t="s">
        <v>253</v>
      </c>
      <c r="I58" t="s">
        <v>257</v>
      </c>
      <c r="J58" t="s">
        <v>263</v>
      </c>
    </row>
    <row r="59" spans="1:10" x14ac:dyDescent="0.35">
      <c r="A59" t="s">
        <v>78</v>
      </c>
      <c r="B59" t="s">
        <v>259</v>
      </c>
      <c r="C59" t="s">
        <v>79</v>
      </c>
      <c r="D59">
        <v>2</v>
      </c>
      <c r="E59" t="s">
        <v>83</v>
      </c>
      <c r="F59" t="s">
        <v>261</v>
      </c>
      <c r="G59" t="s">
        <v>252</v>
      </c>
      <c r="H59" t="s">
        <v>253</v>
      </c>
      <c r="I59" t="s">
        <v>257</v>
      </c>
      <c r="J59" t="s">
        <v>263</v>
      </c>
    </row>
    <row r="60" spans="1:10" x14ac:dyDescent="0.35">
      <c r="A60" t="s">
        <v>78</v>
      </c>
      <c r="B60" t="s">
        <v>259</v>
      </c>
      <c r="C60" t="s">
        <v>79</v>
      </c>
      <c r="D60">
        <v>3</v>
      </c>
      <c r="F60" t="s">
        <v>251</v>
      </c>
      <c r="G60" t="s">
        <v>252</v>
      </c>
      <c r="H60" t="s">
        <v>253</v>
      </c>
      <c r="I60" t="s">
        <v>257</v>
      </c>
      <c r="J60" t="s">
        <v>263</v>
      </c>
    </row>
    <row r="61" spans="1:10" x14ac:dyDescent="0.35">
      <c r="A61" t="s">
        <v>78</v>
      </c>
      <c r="B61" t="s">
        <v>259</v>
      </c>
      <c r="C61" t="s">
        <v>79</v>
      </c>
      <c r="D61">
        <v>4</v>
      </c>
      <c r="F61" t="s">
        <v>251</v>
      </c>
      <c r="G61" t="s">
        <v>252</v>
      </c>
      <c r="H61" t="s">
        <v>253</v>
      </c>
      <c r="I61" t="s">
        <v>257</v>
      </c>
      <c r="J61" t="s">
        <v>263</v>
      </c>
    </row>
    <row r="62" spans="1:10" x14ac:dyDescent="0.35">
      <c r="A62" t="s">
        <v>78</v>
      </c>
      <c r="B62" t="s">
        <v>259</v>
      </c>
      <c r="C62" t="s">
        <v>79</v>
      </c>
      <c r="D62">
        <v>5</v>
      </c>
      <c r="F62" t="s">
        <v>251</v>
      </c>
      <c r="G62" t="s">
        <v>252</v>
      </c>
      <c r="H62" t="s">
        <v>253</v>
      </c>
      <c r="I62" t="s">
        <v>257</v>
      </c>
      <c r="J62" t="s">
        <v>263</v>
      </c>
    </row>
    <row r="63" spans="1:10" x14ac:dyDescent="0.35">
      <c r="A63" t="s">
        <v>78</v>
      </c>
      <c r="B63" t="s">
        <v>259</v>
      </c>
      <c r="C63" t="s">
        <v>79</v>
      </c>
      <c r="D63">
        <v>6</v>
      </c>
      <c r="F63" t="s">
        <v>251</v>
      </c>
      <c r="G63" t="s">
        <v>252</v>
      </c>
      <c r="H63" t="s">
        <v>253</v>
      </c>
      <c r="I63" t="s">
        <v>257</v>
      </c>
      <c r="J63" t="s">
        <v>263</v>
      </c>
    </row>
    <row r="64" spans="1:10" x14ac:dyDescent="0.35">
      <c r="A64" t="s">
        <v>78</v>
      </c>
      <c r="B64" t="s">
        <v>259</v>
      </c>
      <c r="C64" t="s">
        <v>79</v>
      </c>
      <c r="D64">
        <v>7</v>
      </c>
      <c r="E64" t="s">
        <v>85</v>
      </c>
      <c r="F64" t="s">
        <v>261</v>
      </c>
      <c r="G64" t="s">
        <v>252</v>
      </c>
      <c r="H64" t="s">
        <v>253</v>
      </c>
      <c r="I64" t="s">
        <v>257</v>
      </c>
      <c r="J64" t="s">
        <v>263</v>
      </c>
    </row>
    <row r="65" spans="1:10" x14ac:dyDescent="0.35">
      <c r="A65" t="s">
        <v>91</v>
      </c>
      <c r="B65" t="s">
        <v>262</v>
      </c>
      <c r="C65" t="s">
        <v>79</v>
      </c>
      <c r="D65">
        <v>1</v>
      </c>
      <c r="F65" t="s">
        <v>251</v>
      </c>
      <c r="G65" t="s">
        <v>252</v>
      </c>
      <c r="H65" t="s">
        <v>253</v>
      </c>
      <c r="I65" t="s">
        <v>257</v>
      </c>
      <c r="J65" t="s">
        <v>263</v>
      </c>
    </row>
    <row r="66" spans="1:10" x14ac:dyDescent="0.35">
      <c r="A66" t="s">
        <v>91</v>
      </c>
      <c r="B66" t="s">
        <v>262</v>
      </c>
      <c r="C66" t="s">
        <v>79</v>
      </c>
      <c r="D66">
        <v>2</v>
      </c>
      <c r="F66" t="s">
        <v>251</v>
      </c>
      <c r="G66" t="s">
        <v>252</v>
      </c>
      <c r="H66" t="s">
        <v>253</v>
      </c>
      <c r="I66" t="s">
        <v>257</v>
      </c>
      <c r="J66" t="s">
        <v>263</v>
      </c>
    </row>
    <row r="67" spans="1:10" x14ac:dyDescent="0.35">
      <c r="A67" t="s">
        <v>91</v>
      </c>
      <c r="B67" t="s">
        <v>262</v>
      </c>
      <c r="C67" t="s">
        <v>79</v>
      </c>
      <c r="D67">
        <v>3</v>
      </c>
      <c r="F67" t="s">
        <v>251</v>
      </c>
      <c r="G67" t="s">
        <v>252</v>
      </c>
      <c r="H67" t="s">
        <v>253</v>
      </c>
      <c r="I67" t="s">
        <v>257</v>
      </c>
      <c r="J67" t="s">
        <v>263</v>
      </c>
    </row>
    <row r="68" spans="1:10" x14ac:dyDescent="0.35">
      <c r="A68" t="s">
        <v>91</v>
      </c>
      <c r="B68" t="s">
        <v>262</v>
      </c>
      <c r="C68" t="s">
        <v>79</v>
      </c>
      <c r="D68">
        <v>4</v>
      </c>
      <c r="F68" t="s">
        <v>251</v>
      </c>
      <c r="G68" t="s">
        <v>252</v>
      </c>
      <c r="H68" t="s">
        <v>253</v>
      </c>
      <c r="I68" t="s">
        <v>257</v>
      </c>
      <c r="J68" t="s">
        <v>263</v>
      </c>
    </row>
    <row r="69" spans="1:10" x14ac:dyDescent="0.35">
      <c r="A69" t="s">
        <v>91</v>
      </c>
      <c r="B69" t="s">
        <v>262</v>
      </c>
      <c r="C69" t="s">
        <v>79</v>
      </c>
      <c r="D69">
        <v>5</v>
      </c>
      <c r="F69" t="s">
        <v>251</v>
      </c>
      <c r="G69" t="s">
        <v>252</v>
      </c>
      <c r="H69" t="s">
        <v>253</v>
      </c>
      <c r="I69" t="s">
        <v>257</v>
      </c>
      <c r="J69" t="s">
        <v>263</v>
      </c>
    </row>
    <row r="70" spans="1:10" x14ac:dyDescent="0.35">
      <c r="A70" t="s">
        <v>91</v>
      </c>
      <c r="B70" t="s">
        <v>262</v>
      </c>
      <c r="C70" t="s">
        <v>79</v>
      </c>
      <c r="D70">
        <v>6</v>
      </c>
      <c r="F70" t="s">
        <v>251</v>
      </c>
      <c r="G70" t="s">
        <v>252</v>
      </c>
      <c r="H70" t="s">
        <v>253</v>
      </c>
      <c r="I70" t="s">
        <v>257</v>
      </c>
      <c r="J70" t="s">
        <v>263</v>
      </c>
    </row>
    <row r="71" spans="1:10" x14ac:dyDescent="0.35">
      <c r="A71" t="s">
        <v>91</v>
      </c>
      <c r="B71" t="s">
        <v>262</v>
      </c>
      <c r="C71" t="s">
        <v>79</v>
      </c>
      <c r="D71">
        <v>7</v>
      </c>
      <c r="F71" t="s">
        <v>251</v>
      </c>
      <c r="G71" t="s">
        <v>252</v>
      </c>
      <c r="H71" t="s">
        <v>253</v>
      </c>
      <c r="I71" t="s">
        <v>257</v>
      </c>
      <c r="J71" t="s">
        <v>263</v>
      </c>
    </row>
    <row r="72" spans="1:10" x14ac:dyDescent="0.35">
      <c r="A72" t="s">
        <v>40</v>
      </c>
      <c r="B72" t="s">
        <v>250</v>
      </c>
      <c r="C72" t="s">
        <v>41</v>
      </c>
      <c r="D72">
        <v>1</v>
      </c>
      <c r="F72" t="s">
        <v>251</v>
      </c>
      <c r="G72" t="s">
        <v>252</v>
      </c>
      <c r="H72" t="s">
        <v>253</v>
      </c>
      <c r="I72" t="s">
        <v>254</v>
      </c>
      <c r="J72" t="s">
        <v>265</v>
      </c>
    </row>
    <row r="73" spans="1:10" x14ac:dyDescent="0.35">
      <c r="A73" t="s">
        <v>40</v>
      </c>
      <c r="B73" t="s">
        <v>250</v>
      </c>
      <c r="C73" t="s">
        <v>41</v>
      </c>
      <c r="D73">
        <v>2</v>
      </c>
      <c r="F73" t="s">
        <v>251</v>
      </c>
      <c r="G73" t="s">
        <v>252</v>
      </c>
      <c r="H73" t="s">
        <v>253</v>
      </c>
      <c r="I73" t="s">
        <v>254</v>
      </c>
      <c r="J73" t="s">
        <v>265</v>
      </c>
    </row>
    <row r="74" spans="1:10" x14ac:dyDescent="0.35">
      <c r="A74" t="s">
        <v>40</v>
      </c>
      <c r="B74" t="s">
        <v>250</v>
      </c>
      <c r="C74" t="s">
        <v>41</v>
      </c>
      <c r="D74">
        <v>3</v>
      </c>
      <c r="F74" t="s">
        <v>251</v>
      </c>
      <c r="G74" t="s">
        <v>252</v>
      </c>
      <c r="H74" t="s">
        <v>253</v>
      </c>
      <c r="I74" t="s">
        <v>254</v>
      </c>
      <c r="J74" t="s">
        <v>265</v>
      </c>
    </row>
    <row r="75" spans="1:10" x14ac:dyDescent="0.35">
      <c r="A75" t="s">
        <v>40</v>
      </c>
      <c r="B75" t="s">
        <v>250</v>
      </c>
      <c r="C75" t="s">
        <v>41</v>
      </c>
      <c r="D75">
        <v>4</v>
      </c>
      <c r="F75" t="s">
        <v>251</v>
      </c>
      <c r="G75" t="s">
        <v>252</v>
      </c>
      <c r="H75" t="s">
        <v>253</v>
      </c>
      <c r="I75" t="s">
        <v>254</v>
      </c>
      <c r="J75" t="s">
        <v>265</v>
      </c>
    </row>
    <row r="76" spans="1:10" x14ac:dyDescent="0.35">
      <c r="A76" t="s">
        <v>40</v>
      </c>
      <c r="B76" t="s">
        <v>250</v>
      </c>
      <c r="C76" t="s">
        <v>41</v>
      </c>
      <c r="D76">
        <v>5</v>
      </c>
      <c r="F76" t="s">
        <v>251</v>
      </c>
      <c r="G76" t="s">
        <v>252</v>
      </c>
      <c r="H76" t="s">
        <v>253</v>
      </c>
      <c r="I76" t="s">
        <v>254</v>
      </c>
      <c r="J76" t="s">
        <v>265</v>
      </c>
    </row>
    <row r="77" spans="1:10" x14ac:dyDescent="0.35">
      <c r="A77" t="s">
        <v>40</v>
      </c>
      <c r="B77" t="s">
        <v>250</v>
      </c>
      <c r="C77" t="s">
        <v>41</v>
      </c>
      <c r="D77">
        <v>6</v>
      </c>
      <c r="F77" t="s">
        <v>251</v>
      </c>
      <c r="G77" t="s">
        <v>252</v>
      </c>
      <c r="H77" t="s">
        <v>253</v>
      </c>
      <c r="I77" t="s">
        <v>254</v>
      </c>
      <c r="J77" t="s">
        <v>265</v>
      </c>
    </row>
    <row r="78" spans="1:10" x14ac:dyDescent="0.35">
      <c r="A78" t="s">
        <v>40</v>
      </c>
      <c r="B78" t="s">
        <v>250</v>
      </c>
      <c r="C78" t="s">
        <v>41</v>
      </c>
      <c r="D78">
        <v>7</v>
      </c>
      <c r="F78" t="s">
        <v>251</v>
      </c>
      <c r="G78" t="s">
        <v>252</v>
      </c>
      <c r="H78" t="s">
        <v>253</v>
      </c>
      <c r="I78" t="s">
        <v>254</v>
      </c>
      <c r="J78" t="s">
        <v>265</v>
      </c>
    </row>
    <row r="79" spans="1:10" x14ac:dyDescent="0.35">
      <c r="A79" t="s">
        <v>53</v>
      </c>
      <c r="B79" t="s">
        <v>256</v>
      </c>
      <c r="C79" t="s">
        <v>41</v>
      </c>
      <c r="D79">
        <v>1</v>
      </c>
      <c r="F79" t="s">
        <v>251</v>
      </c>
      <c r="G79" t="s">
        <v>252</v>
      </c>
      <c r="H79" t="s">
        <v>253</v>
      </c>
      <c r="I79" t="s">
        <v>257</v>
      </c>
      <c r="J79" t="s">
        <v>265</v>
      </c>
    </row>
    <row r="80" spans="1:10" x14ac:dyDescent="0.35">
      <c r="A80" t="s">
        <v>53</v>
      </c>
      <c r="B80" t="s">
        <v>256</v>
      </c>
      <c r="C80" t="s">
        <v>41</v>
      </c>
      <c r="D80">
        <v>2</v>
      </c>
      <c r="F80" t="s">
        <v>251</v>
      </c>
      <c r="G80" t="s">
        <v>252</v>
      </c>
      <c r="H80" t="s">
        <v>253</v>
      </c>
      <c r="I80" t="s">
        <v>257</v>
      </c>
      <c r="J80" t="s">
        <v>265</v>
      </c>
    </row>
    <row r="81" spans="1:10" x14ac:dyDescent="0.35">
      <c r="A81" t="s">
        <v>53</v>
      </c>
      <c r="B81" t="s">
        <v>256</v>
      </c>
      <c r="C81" t="s">
        <v>41</v>
      </c>
      <c r="D81">
        <v>3</v>
      </c>
      <c r="F81" t="s">
        <v>251</v>
      </c>
      <c r="G81" t="s">
        <v>252</v>
      </c>
      <c r="H81" t="s">
        <v>253</v>
      </c>
      <c r="I81" t="s">
        <v>257</v>
      </c>
      <c r="J81" t="s">
        <v>265</v>
      </c>
    </row>
    <row r="82" spans="1:10" x14ac:dyDescent="0.35">
      <c r="A82" t="s">
        <v>53</v>
      </c>
      <c r="B82" t="s">
        <v>256</v>
      </c>
      <c r="C82" t="s">
        <v>41</v>
      </c>
      <c r="D82">
        <v>4</v>
      </c>
      <c r="E82" t="s">
        <v>59</v>
      </c>
      <c r="F82" t="s">
        <v>261</v>
      </c>
      <c r="G82" t="s">
        <v>266</v>
      </c>
      <c r="H82" t="s">
        <v>253</v>
      </c>
      <c r="I82" t="s">
        <v>257</v>
      </c>
      <c r="J82" t="s">
        <v>265</v>
      </c>
    </row>
    <row r="83" spans="1:10" x14ac:dyDescent="0.35">
      <c r="A83" t="s">
        <v>53</v>
      </c>
      <c r="B83" t="s">
        <v>256</v>
      </c>
      <c r="C83" t="s">
        <v>41</v>
      </c>
      <c r="D83">
        <v>5</v>
      </c>
      <c r="F83" t="s">
        <v>251</v>
      </c>
      <c r="G83" t="s">
        <v>252</v>
      </c>
      <c r="H83" t="s">
        <v>253</v>
      </c>
      <c r="I83" t="s">
        <v>257</v>
      </c>
      <c r="J83" t="s">
        <v>265</v>
      </c>
    </row>
    <row r="84" spans="1:10" x14ac:dyDescent="0.35">
      <c r="A84" t="s">
        <v>53</v>
      </c>
      <c r="B84" t="s">
        <v>256</v>
      </c>
      <c r="C84" t="s">
        <v>41</v>
      </c>
      <c r="D84">
        <v>6</v>
      </c>
      <c r="E84" t="s">
        <v>59</v>
      </c>
      <c r="F84" t="s">
        <v>261</v>
      </c>
      <c r="G84" t="s">
        <v>264</v>
      </c>
      <c r="H84" t="s">
        <v>253</v>
      </c>
      <c r="I84" t="s">
        <v>257</v>
      </c>
      <c r="J84" t="s">
        <v>265</v>
      </c>
    </row>
    <row r="85" spans="1:10" x14ac:dyDescent="0.35">
      <c r="A85" t="s">
        <v>53</v>
      </c>
      <c r="B85" t="s">
        <v>256</v>
      </c>
      <c r="C85" t="s">
        <v>41</v>
      </c>
      <c r="D85">
        <v>7</v>
      </c>
      <c r="F85" t="s">
        <v>251</v>
      </c>
      <c r="G85" t="s">
        <v>252</v>
      </c>
      <c r="H85" t="s">
        <v>253</v>
      </c>
      <c r="I85" t="s">
        <v>257</v>
      </c>
      <c r="J85" t="s">
        <v>265</v>
      </c>
    </row>
    <row r="86" spans="1:10" x14ac:dyDescent="0.35">
      <c r="A86" t="s">
        <v>65</v>
      </c>
      <c r="B86" t="s">
        <v>258</v>
      </c>
      <c r="C86" t="s">
        <v>66</v>
      </c>
      <c r="D86">
        <v>1</v>
      </c>
      <c r="F86" t="s">
        <v>251</v>
      </c>
      <c r="G86" t="s">
        <v>252</v>
      </c>
      <c r="H86" t="s">
        <v>253</v>
      </c>
      <c r="I86" t="s">
        <v>257</v>
      </c>
      <c r="J86" t="s">
        <v>265</v>
      </c>
    </row>
    <row r="87" spans="1:10" x14ac:dyDescent="0.35">
      <c r="A87" t="s">
        <v>65</v>
      </c>
      <c r="B87" t="s">
        <v>258</v>
      </c>
      <c r="C87" t="s">
        <v>66</v>
      </c>
      <c r="D87">
        <v>2</v>
      </c>
      <c r="F87" t="s">
        <v>251</v>
      </c>
      <c r="G87" t="s">
        <v>252</v>
      </c>
      <c r="H87" t="s">
        <v>253</v>
      </c>
      <c r="I87" t="s">
        <v>257</v>
      </c>
      <c r="J87" t="s">
        <v>265</v>
      </c>
    </row>
    <row r="88" spans="1:10" x14ac:dyDescent="0.35">
      <c r="A88" t="s">
        <v>65</v>
      </c>
      <c r="B88" t="s">
        <v>258</v>
      </c>
      <c r="C88" t="s">
        <v>66</v>
      </c>
      <c r="D88">
        <v>3</v>
      </c>
      <c r="F88" t="s">
        <v>251</v>
      </c>
      <c r="G88" t="s">
        <v>252</v>
      </c>
      <c r="H88" t="s">
        <v>253</v>
      </c>
      <c r="I88" t="s">
        <v>257</v>
      </c>
      <c r="J88" t="s">
        <v>265</v>
      </c>
    </row>
    <row r="89" spans="1:10" x14ac:dyDescent="0.35">
      <c r="A89" t="s">
        <v>65</v>
      </c>
      <c r="B89" t="s">
        <v>258</v>
      </c>
      <c r="C89" t="s">
        <v>66</v>
      </c>
      <c r="D89">
        <v>4</v>
      </c>
      <c r="F89" t="s">
        <v>251</v>
      </c>
      <c r="G89" t="s">
        <v>252</v>
      </c>
      <c r="H89" t="s">
        <v>253</v>
      </c>
      <c r="I89" t="s">
        <v>257</v>
      </c>
      <c r="J89" t="s">
        <v>265</v>
      </c>
    </row>
    <row r="90" spans="1:10" x14ac:dyDescent="0.35">
      <c r="A90" t="s">
        <v>65</v>
      </c>
      <c r="B90" t="s">
        <v>258</v>
      </c>
      <c r="C90" t="s">
        <v>66</v>
      </c>
      <c r="D90">
        <v>5</v>
      </c>
      <c r="F90" t="s">
        <v>251</v>
      </c>
      <c r="G90" t="s">
        <v>252</v>
      </c>
      <c r="H90" t="s">
        <v>253</v>
      </c>
      <c r="I90" t="s">
        <v>257</v>
      </c>
      <c r="J90" t="s">
        <v>265</v>
      </c>
    </row>
    <row r="91" spans="1:10" x14ac:dyDescent="0.35">
      <c r="A91" t="s">
        <v>65</v>
      </c>
      <c r="B91" t="s">
        <v>258</v>
      </c>
      <c r="C91" t="s">
        <v>66</v>
      </c>
      <c r="D91">
        <v>6</v>
      </c>
      <c r="E91" t="s">
        <v>71</v>
      </c>
      <c r="F91" t="s">
        <v>261</v>
      </c>
      <c r="G91" t="s">
        <v>264</v>
      </c>
      <c r="H91" t="s">
        <v>253</v>
      </c>
      <c r="I91" t="s">
        <v>257</v>
      </c>
      <c r="J91" t="s">
        <v>265</v>
      </c>
    </row>
    <row r="92" spans="1:10" x14ac:dyDescent="0.35">
      <c r="A92" t="s">
        <v>65</v>
      </c>
      <c r="B92" t="s">
        <v>258</v>
      </c>
      <c r="C92" t="s">
        <v>66</v>
      </c>
      <c r="D92">
        <v>7</v>
      </c>
      <c r="E92" t="s">
        <v>73</v>
      </c>
      <c r="F92" t="s">
        <v>261</v>
      </c>
      <c r="G92" t="s">
        <v>267</v>
      </c>
      <c r="H92" t="s">
        <v>253</v>
      </c>
      <c r="I92" t="s">
        <v>257</v>
      </c>
      <c r="J92" t="s">
        <v>265</v>
      </c>
    </row>
    <row r="93" spans="1:10" x14ac:dyDescent="0.35">
      <c r="A93" t="s">
        <v>78</v>
      </c>
      <c r="B93" t="s">
        <v>259</v>
      </c>
      <c r="C93" t="s">
        <v>79</v>
      </c>
      <c r="D93">
        <v>1</v>
      </c>
      <c r="E93" t="s">
        <v>82</v>
      </c>
      <c r="F93" t="s">
        <v>261</v>
      </c>
      <c r="G93" t="s">
        <v>268</v>
      </c>
      <c r="H93" t="s">
        <v>253</v>
      </c>
      <c r="I93" t="s">
        <v>257</v>
      </c>
      <c r="J93" t="s">
        <v>265</v>
      </c>
    </row>
    <row r="94" spans="1:10" x14ac:dyDescent="0.35">
      <c r="A94" t="s">
        <v>78</v>
      </c>
      <c r="B94" t="s">
        <v>259</v>
      </c>
      <c r="C94" t="s">
        <v>79</v>
      </c>
      <c r="D94">
        <v>2</v>
      </c>
      <c r="E94" t="s">
        <v>82</v>
      </c>
      <c r="F94" t="s">
        <v>261</v>
      </c>
      <c r="G94" t="s">
        <v>269</v>
      </c>
      <c r="H94" t="s">
        <v>253</v>
      </c>
      <c r="I94" t="s">
        <v>257</v>
      </c>
      <c r="J94" t="s">
        <v>265</v>
      </c>
    </row>
    <row r="95" spans="1:10" x14ac:dyDescent="0.35">
      <c r="A95" t="s">
        <v>78</v>
      </c>
      <c r="B95" t="s">
        <v>259</v>
      </c>
      <c r="C95" t="s">
        <v>79</v>
      </c>
      <c r="D95">
        <v>3</v>
      </c>
      <c r="F95" t="s">
        <v>251</v>
      </c>
      <c r="G95" t="s">
        <v>252</v>
      </c>
      <c r="H95" t="s">
        <v>253</v>
      </c>
      <c r="I95" t="s">
        <v>257</v>
      </c>
      <c r="J95" t="s">
        <v>265</v>
      </c>
    </row>
    <row r="96" spans="1:10" x14ac:dyDescent="0.35">
      <c r="A96" t="s">
        <v>78</v>
      </c>
      <c r="B96" t="s">
        <v>259</v>
      </c>
      <c r="C96" t="s">
        <v>79</v>
      </c>
      <c r="D96">
        <v>4</v>
      </c>
      <c r="E96" t="s">
        <v>82</v>
      </c>
      <c r="F96" t="s">
        <v>261</v>
      </c>
      <c r="G96" t="s">
        <v>266</v>
      </c>
      <c r="H96" t="s">
        <v>253</v>
      </c>
      <c r="I96" t="s">
        <v>257</v>
      </c>
      <c r="J96" t="s">
        <v>265</v>
      </c>
    </row>
    <row r="97" spans="1:10" x14ac:dyDescent="0.35">
      <c r="A97" t="s">
        <v>78</v>
      </c>
      <c r="B97" t="s">
        <v>259</v>
      </c>
      <c r="C97" t="s">
        <v>79</v>
      </c>
      <c r="D97">
        <v>5</v>
      </c>
      <c r="E97" t="s">
        <v>270</v>
      </c>
      <c r="F97" t="s">
        <v>261</v>
      </c>
      <c r="G97" t="s">
        <v>271</v>
      </c>
      <c r="H97" t="s">
        <v>253</v>
      </c>
      <c r="I97" t="s">
        <v>257</v>
      </c>
      <c r="J97" t="s">
        <v>265</v>
      </c>
    </row>
    <row r="98" spans="1:10" x14ac:dyDescent="0.35">
      <c r="A98" t="s">
        <v>78</v>
      </c>
      <c r="B98" t="s">
        <v>259</v>
      </c>
      <c r="C98" t="s">
        <v>79</v>
      </c>
      <c r="D98">
        <v>6</v>
      </c>
      <c r="E98" t="s">
        <v>82</v>
      </c>
      <c r="F98" t="s">
        <v>261</v>
      </c>
      <c r="G98" t="s">
        <v>264</v>
      </c>
      <c r="H98" t="s">
        <v>253</v>
      </c>
      <c r="I98" t="s">
        <v>257</v>
      </c>
      <c r="J98" t="s">
        <v>265</v>
      </c>
    </row>
    <row r="99" spans="1:10" x14ac:dyDescent="0.35">
      <c r="A99" t="s">
        <v>78</v>
      </c>
      <c r="B99" t="s">
        <v>259</v>
      </c>
      <c r="C99" t="s">
        <v>79</v>
      </c>
      <c r="D99">
        <v>7</v>
      </c>
      <c r="F99" t="s">
        <v>251</v>
      </c>
      <c r="G99" t="s">
        <v>252</v>
      </c>
      <c r="H99" t="s">
        <v>253</v>
      </c>
      <c r="I99" t="s">
        <v>257</v>
      </c>
      <c r="J99" t="s">
        <v>265</v>
      </c>
    </row>
    <row r="100" spans="1:10" x14ac:dyDescent="0.35">
      <c r="A100" t="s">
        <v>91</v>
      </c>
      <c r="B100" t="s">
        <v>262</v>
      </c>
      <c r="C100" t="s">
        <v>79</v>
      </c>
      <c r="D100">
        <v>1</v>
      </c>
      <c r="F100" t="s">
        <v>251</v>
      </c>
      <c r="G100" t="s">
        <v>252</v>
      </c>
      <c r="H100" t="s">
        <v>253</v>
      </c>
      <c r="I100" t="s">
        <v>257</v>
      </c>
      <c r="J100" t="s">
        <v>265</v>
      </c>
    </row>
    <row r="101" spans="1:10" x14ac:dyDescent="0.35">
      <c r="A101" t="s">
        <v>91</v>
      </c>
      <c r="B101" t="s">
        <v>262</v>
      </c>
      <c r="C101" t="s">
        <v>79</v>
      </c>
      <c r="D101">
        <v>2</v>
      </c>
      <c r="F101" t="s">
        <v>251</v>
      </c>
      <c r="G101" t="s">
        <v>252</v>
      </c>
      <c r="H101" t="s">
        <v>253</v>
      </c>
      <c r="I101" t="s">
        <v>257</v>
      </c>
      <c r="J101" t="s">
        <v>265</v>
      </c>
    </row>
    <row r="102" spans="1:10" x14ac:dyDescent="0.35">
      <c r="A102" t="s">
        <v>91</v>
      </c>
      <c r="B102" t="s">
        <v>262</v>
      </c>
      <c r="C102" t="s">
        <v>79</v>
      </c>
      <c r="D102">
        <v>3</v>
      </c>
      <c r="F102" t="s">
        <v>251</v>
      </c>
      <c r="G102" t="s">
        <v>252</v>
      </c>
      <c r="H102" t="s">
        <v>253</v>
      </c>
      <c r="I102" t="s">
        <v>257</v>
      </c>
      <c r="J102" t="s">
        <v>265</v>
      </c>
    </row>
    <row r="103" spans="1:10" x14ac:dyDescent="0.35">
      <c r="A103" t="s">
        <v>91</v>
      </c>
      <c r="B103" t="s">
        <v>262</v>
      </c>
      <c r="C103" t="s">
        <v>79</v>
      </c>
      <c r="D103">
        <v>4</v>
      </c>
      <c r="F103" t="s">
        <v>251</v>
      </c>
      <c r="G103" t="s">
        <v>252</v>
      </c>
      <c r="H103" t="s">
        <v>253</v>
      </c>
      <c r="I103" t="s">
        <v>257</v>
      </c>
      <c r="J103" t="s">
        <v>265</v>
      </c>
    </row>
    <row r="104" spans="1:10" x14ac:dyDescent="0.35">
      <c r="A104" t="s">
        <v>91</v>
      </c>
      <c r="B104" t="s">
        <v>262</v>
      </c>
      <c r="C104" t="s">
        <v>79</v>
      </c>
      <c r="D104">
        <v>5</v>
      </c>
      <c r="E104" t="s">
        <v>272</v>
      </c>
      <c r="F104" t="s">
        <v>261</v>
      </c>
      <c r="G104" t="s">
        <v>271</v>
      </c>
      <c r="H104" t="s">
        <v>253</v>
      </c>
      <c r="I104" t="s">
        <v>257</v>
      </c>
      <c r="J104" t="s">
        <v>265</v>
      </c>
    </row>
    <row r="105" spans="1:10" x14ac:dyDescent="0.35">
      <c r="A105" t="s">
        <v>91</v>
      </c>
      <c r="B105" t="s">
        <v>262</v>
      </c>
      <c r="C105" t="s">
        <v>79</v>
      </c>
      <c r="D105">
        <v>6</v>
      </c>
      <c r="F105" t="s">
        <v>251</v>
      </c>
      <c r="G105" t="s">
        <v>252</v>
      </c>
      <c r="H105" t="s">
        <v>253</v>
      </c>
      <c r="I105" t="s">
        <v>257</v>
      </c>
      <c r="J105" t="s">
        <v>265</v>
      </c>
    </row>
    <row r="106" spans="1:10" x14ac:dyDescent="0.35">
      <c r="A106" t="s">
        <v>91</v>
      </c>
      <c r="B106" t="s">
        <v>262</v>
      </c>
      <c r="C106" t="s">
        <v>79</v>
      </c>
      <c r="D106">
        <v>7</v>
      </c>
      <c r="F106" t="s">
        <v>251</v>
      </c>
      <c r="G106" t="s">
        <v>252</v>
      </c>
      <c r="H106" t="s">
        <v>253</v>
      </c>
      <c r="I106" t="s">
        <v>257</v>
      </c>
      <c r="J10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Agent Design</vt:lpstr>
      <vt:lpstr>Sheet1</vt:lpstr>
      <vt:lpstr>Round 1 Data</vt:lpstr>
      <vt:lpstr>Scoring guide</vt:lpstr>
      <vt:lpstr>Prompt complexity</vt:lpstr>
      <vt:lpstr>Results Log Round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Beals</cp:lastModifiedBy>
  <dcterms:created xsi:type="dcterms:W3CDTF">2026-06-11T03:26:33Z</dcterms:created>
  <dcterms:modified xsi:type="dcterms:W3CDTF">2026-06-16T01:31:25Z</dcterms:modified>
</cp:coreProperties>
</file>